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ภาพรวม" sheetId="1" state="visible" r:id="rId1"/>
    <sheet name="พอร์ตตอนนี้" sheetId="2" state="visible" r:id="rId2"/>
    <sheet name="ระบบตัดสินใจ" sheetId="3" state="visible" r:id="rId3"/>
    <sheet name="ประวัติซื้อ" sheetId="4" state="visible" r:id="rId4"/>
    <sheet name="ประวัติขาย" sheetId="5" state="visible" r:id="rId5"/>
    <sheet name="กำไรขาดทุน" sheetId="6" state="visible" r:id="rId6"/>
    <sheet name="มูลค่าพอร์ต" sheetId="7" state="visible" r:id="rId7"/>
    <sheet name="เหตุการณ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-#,##0.00"/>
    <numFmt numFmtId="165" formatCode="+0.00%;-0.00%;0.00%"/>
    <numFmt numFmtId="166" formatCode="0.0%"/>
    <numFmt numFmtId="167" formatCode="yyyy-mm-dd h:mm:ss"/>
    <numFmt numFmtId="168" formatCode="yyyy-mm-dd hh:mm"/>
    <numFmt numFmtId="169" formatCode="0.00000000"/>
    <numFmt numFmtId="170" formatCode="#,##0.00####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C00000"/>
    </font>
    <font>
      <name val="Arial"/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168" fontId="5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169" fontId="4" fillId="0" borderId="1" pivotButton="0" quotePrefix="0" xfId="0"/>
    <xf numFmtId="170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8" fontId="4" fillId="0" borderId="1" pivotButton="0" quotePrefix="0" xfId="0"/>
    <xf numFmtId="164" fontId="6" fillId="0" borderId="1" pivotButton="0" quotePrefix="0" xfId="0"/>
    <xf numFmtId="164" fontId="7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กำไร/ขาดทุนรวมรายเหรียญ (บาท)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'กำไรขาดทุน'!E3</f>
            </strRef>
          </tx>
          <spPr>
            <a:ln>
              <a:prstDash val="solid"/>
            </a:ln>
          </spPr>
          <cat>
            <numRef>
              <f>'กำไรขาดทุน'!$A$4:$A$15</f>
            </numRef>
          </cat>
          <val>
            <numRef>
              <f>'กำไรขาดทุน'!$E$4:$E$15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บาท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กำไร/ขาดทุนที่ขายแล้ว สะสมรายวัน (บาท)</a:t>
            </a:r>
          </a:p>
        </rich>
      </tx>
    </title>
    <plotArea>
      <lineChart>
        <grouping val="standard"/>
        <ser>
          <idx val="0"/>
          <order val="0"/>
          <tx>
            <strRef>
              <f>'กำไรขาดทุน'!I10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'กำไรขาดทุน'!$G$11:$G$15</f>
            </numRef>
          </cat>
          <val>
            <numRef>
              <f>'กำไรขาดทุน'!$I$11:$I$15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บาท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กำไร/ขาดทุนเทียบทุน (บาท)</a:t>
            </a:r>
          </a:p>
        </rich>
      </tx>
    </title>
    <plotArea>
      <lineChart>
        <grouping val="standard"/>
        <ser>
          <idx val="0"/>
          <order val="0"/>
          <tx>
            <strRef>
              <f>'มูลค่าพอร์ต'!D3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'มูลค่าพอร์ต'!$A$4:$A$233</f>
            </numRef>
          </cat>
          <val>
            <numRef>
              <f>'มูลค่าพอร์ต'!$D$4:$D$233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/mm hh:mm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บาท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มูลค่าพอร์ต vs ทุน (บาท)</a:t>
            </a:r>
          </a:p>
        </rich>
      </tx>
    </title>
    <plotArea>
      <lineChart>
        <grouping val="standard"/>
        <ser>
          <idx val="0"/>
          <order val="0"/>
          <tx>
            <strRef>
              <f>'มูลค่าพอร์ต'!B3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'มูลค่าพอร์ต'!$A$4:$A$233</f>
            </numRef>
          </cat>
          <val>
            <numRef>
              <f>'มูลค่าพอร์ต'!$B$4:$B$233</f>
            </numRef>
          </val>
          <smooth val="0"/>
        </ser>
        <ser>
          <idx val="1"/>
          <order val="1"/>
          <tx>
            <strRef>
              <f>'มูลค่าพอร์ต'!C3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'มูลค่าพอร์ต'!$A$4:$A$233</f>
            </numRef>
          </cat>
          <val>
            <numRef>
              <f>'มูลค่าพอร์ต'!$C$4:$C$233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/mm hh: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บาท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22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🧱 Steady Stack — ภาพรวม</t>
        </is>
      </c>
    </row>
    <row r="2">
      <c r="A2" s="2" t="inlineStr">
        <is>
          <t>อัปเดตอัตโนมัติ 2026-10-27 14:35 (เวลาไทย) · ตัวเลขเป็นบาท</t>
        </is>
      </c>
    </row>
    <row r="3">
      <c r="A3" s="3" t="inlineStr">
        <is>
          <t>รายการ</t>
        </is>
      </c>
      <c r="B3" s="3" t="inlineStr">
        <is>
          <t>ค่า</t>
        </is>
      </c>
    </row>
    <row r="4">
      <c r="A4" s="4" t="inlineStr">
        <is>
          <t>ทุนทั้งบัญชี (ตั้งต้น + เติม)</t>
        </is>
      </c>
      <c r="B4" s="5" t="n">
        <v>1482.71</v>
      </c>
    </row>
    <row r="5">
      <c r="A5" s="4" t="inlineStr">
        <is>
          <t>มูลค่าเหรียญตอนนี้</t>
        </is>
      </c>
      <c r="B5" s="5" t="n">
        <v>1401.36</v>
      </c>
    </row>
    <row r="6">
      <c r="A6" s="4" t="inlineStr">
        <is>
          <t>เงินบาทในกอง</t>
        </is>
      </c>
      <c r="B6" s="5" t="n">
        <v>0</v>
      </c>
    </row>
    <row r="7">
      <c r="A7" s="4" t="inlineStr">
        <is>
          <t>มูลค่าทั้งบัญชี</t>
        </is>
      </c>
      <c r="B7" s="5">
        <f>B5+B6</f>
        <v/>
      </c>
    </row>
    <row r="8">
      <c r="A8" s="4" t="inlineStr">
        <is>
          <t>กำไร/ขาดทุนเทียบทุน</t>
        </is>
      </c>
      <c r="B8" s="5">
        <f>IF(B4="","",B7-B4)</f>
        <v/>
      </c>
    </row>
    <row r="9">
      <c r="A9" s="4" t="inlineStr">
        <is>
          <t>กำไร/ขาดทุน %</t>
        </is>
      </c>
      <c r="B9" s="6">
        <f>IF(OR(B4="",B4=0),"",B8/B4)</f>
        <v/>
      </c>
    </row>
    <row r="10">
      <c r="A10" s="4" t="inlineStr">
        <is>
          <t>กำไรที่ขายแล้วสะสม (ตั้งแต่เริ่มบอท)</t>
        </is>
      </c>
      <c r="B10" s="5" t="n">
        <v>-37.6</v>
      </c>
    </row>
    <row r="11">
      <c r="A11" s="4" t="inlineStr">
        <is>
          <t>ถอนออกสะสม</t>
        </is>
      </c>
      <c r="B11" s="5" t="n">
        <v>0</v>
      </c>
    </row>
    <row r="12">
      <c r="A12" s="4" t="inlineStr">
        <is>
          <t>แจ้งเตือนถอนเมื่อกำไรเทียบทุนถึง</t>
        </is>
      </c>
      <c r="B12" s="5" t="n">
        <v>300</v>
      </c>
    </row>
    <row r="13">
      <c r="A13" s="4" t="inlineStr">
        <is>
          <t>ไม้ที่ปิดแล้ว (journal)</t>
        </is>
      </c>
      <c r="B13" s="7" t="n">
        <v>28</v>
      </c>
    </row>
    <row r="14">
      <c r="A14" s="4" t="inlineStr">
        <is>
          <t>ชนะ</t>
        </is>
      </c>
      <c r="B14" s="7" t="n">
        <v>9</v>
      </c>
    </row>
    <row r="15">
      <c r="A15" s="4" t="inlineStr">
        <is>
          <t>Winrate</t>
        </is>
      </c>
      <c r="B15" s="8" t="n">
        <v>0.3214285714285715</v>
      </c>
    </row>
    <row r="16">
      <c r="A16" s="4" t="inlineStr">
        <is>
          <t>กำไรเฉลี่ยต่อไม้</t>
        </is>
      </c>
      <c r="B16" s="6" t="n">
        <v>-0.016075</v>
      </c>
    </row>
    <row r="17">
      <c r="A17" s="4" t="inlineStr">
        <is>
          <t>จำนวนครั้งที่ขาย (ทั้งหมด)</t>
        </is>
      </c>
      <c r="B17" s="7" t="n">
        <v>23</v>
      </c>
    </row>
    <row r="18">
      <c r="A18" s="4" t="inlineStr">
        <is>
          <t>เหรียญที่ถืออยู่</t>
        </is>
      </c>
      <c r="B18" s="7" t="n">
        <v>5</v>
      </c>
    </row>
    <row r="19">
      <c r="A19" s="4" t="inlineStr">
        <is>
          <t>โหมดทั้งบัญชีเริ่มเมื่อ</t>
        </is>
      </c>
      <c r="B19" s="9" t="n">
        <v>46316.81326417234</v>
      </c>
    </row>
    <row r="21">
      <c r="A21" s="2" t="inlineStr">
        <is>
          <t>กราฟมูลค่าพอร์ตอยู่ในแท็บ "มูลค่าพอร์ต" · กำไรรายเหรียญอยู่ในแท็บ "กำไรขาดทุน"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16" customWidth="1" min="4" max="4"/>
    <col width="15" customWidth="1" min="5" max="5"/>
    <col width="11" customWidth="1" min="6" max="6"/>
    <col width="12" customWidth="1" min="7" max="7"/>
    <col width="24" customWidth="1" min="8" max="8"/>
    <col width="12" customWidth="1" min="9" max="9"/>
    <col width="15" customWidth="1" min="10" max="10"/>
    <col width="17" customWidth="1" min="11" max="11"/>
    <col width="15" customWidth="1" min="12" max="12"/>
    <col width="12" customWidth="1" min="13" max="13"/>
    <col width="13" customWidth="1" min="14" max="14"/>
  </cols>
  <sheetData>
    <row r="1">
      <c r="A1" s="1" t="inlineStr">
        <is>
          <t>เหรียญที่ถืออยู่</t>
        </is>
      </c>
    </row>
    <row r="2">
      <c r="A2" s="2" t="inlineStr">
        <is>
          <t>ราคาจากผลวิเคราะห์ล่าสุด 2026-10-27 14:34 · ราคาขายคำนวณจากทุนเฉลี่ย</t>
        </is>
      </c>
    </row>
    <row r="3">
      <c r="A3" s="10" t="inlineStr">
        <is>
          <t>เหรียญ</t>
        </is>
      </c>
      <c r="B3" s="10" t="inlineStr">
        <is>
          <t>ทุน</t>
        </is>
      </c>
      <c r="C3" s="10" t="inlineStr">
        <is>
          <t>จำนวนเหรียญ</t>
        </is>
      </c>
      <c r="D3" s="10" t="inlineStr">
        <is>
          <t>ทุนเฉลี่ย/เหรียญ</t>
        </is>
      </c>
      <c r="E3" s="10" t="inlineStr">
        <is>
          <t>ราคาล่าสุด</t>
        </is>
      </c>
      <c r="F3" s="10" t="inlineStr">
        <is>
          <t>มูลค่า</t>
        </is>
      </c>
      <c r="G3" s="10" t="inlineStr">
        <is>
          <t>กำไร/ขาดทุน</t>
        </is>
      </c>
      <c r="H3" s="10" t="inlineStr">
        <is>
          <t>แนวโน้ม</t>
        </is>
      </c>
      <c r="I3" s="10" t="inlineStr">
        <is>
          <t>ผันผวน 48 ชม.</t>
        </is>
      </c>
      <c r="J3" s="10" t="inlineStr">
        <is>
          <t>ราคา TP (+6%)</t>
        </is>
      </c>
      <c r="K3" s="10" t="inlineStr">
        <is>
          <t>ราคาเริ่มตัด DC (-10%)</t>
        </is>
      </c>
      <c r="L3" s="10" t="inlineStr">
        <is>
          <t>ราคา SL (-20%)</t>
        </is>
      </c>
      <c r="M3" s="10" t="inlineStr">
        <is>
          <t>ซื้อกี่ครั้ง</t>
        </is>
      </c>
      <c r="N3" s="10" t="inlineStr">
        <is>
          <t>ซื้อล่าสุด</t>
        </is>
      </c>
    </row>
    <row r="4">
      <c r="A4" s="11" t="inlineStr">
        <is>
          <t>BTC</t>
        </is>
      </c>
      <c r="B4" s="12" t="n">
        <v>282.71</v>
      </c>
      <c r="C4" s="13" t="n">
        <v>0.00010264</v>
      </c>
      <c r="D4" s="14" t="n">
        <v>2754384.255650818</v>
      </c>
      <c r="E4" s="14" t="n">
        <v>2687340.29</v>
      </c>
      <c r="F4" s="12">
        <f>IF(E4="","",C4*E4)</f>
        <v/>
      </c>
      <c r="G4" s="15">
        <f>IF(E4="","",F4/B4-1)</f>
        <v/>
      </c>
      <c r="H4" s="11" t="inlineStr">
        <is>
          <t>ยังสรุปแนวโน้มไม่ได้</t>
        </is>
      </c>
      <c r="I4" s="16" t="n">
        <v>0.004506</v>
      </c>
      <c r="J4" s="14" t="n">
        <v>2919647.310989867</v>
      </c>
      <c r="K4" s="14" t="n">
        <v>2478945.830085736</v>
      </c>
      <c r="L4" s="14" t="n">
        <v>2203507.404520655</v>
      </c>
      <c r="M4" s="11" t="n">
        <v>4</v>
      </c>
      <c r="N4" s="11" t="inlineStr">
        <is>
          <t>2026-10-21</t>
        </is>
      </c>
    </row>
    <row r="5">
      <c r="A5" s="11" t="inlineStr">
        <is>
          <t>XRP</t>
        </is>
      </c>
      <c r="B5" s="12" t="n">
        <v>220.38</v>
      </c>
      <c r="C5" s="13" t="n">
        <v>4.86480755</v>
      </c>
      <c r="D5" s="14" t="n">
        <v>45.30086704046494</v>
      </c>
      <c r="E5" s="14" t="n">
        <v>43.83</v>
      </c>
      <c r="F5" s="12">
        <f>IF(E5="","",C5*E5)</f>
        <v/>
      </c>
      <c r="G5" s="15">
        <f>IF(E5="","",F5/B5-1)</f>
        <v/>
      </c>
      <c r="H5" s="11" t="inlineStr">
        <is>
          <t>ยังสรุปแนวโน้มไม่ได้</t>
        </is>
      </c>
      <c r="I5" s="16" t="n">
        <v>0.005342</v>
      </c>
      <c r="J5" s="14" t="n">
        <v>48.01891906289283</v>
      </c>
      <c r="K5" s="14" t="n">
        <v>40.77078033641845</v>
      </c>
      <c r="L5" s="14" t="n">
        <v>36.24069363237195</v>
      </c>
      <c r="M5" s="11" t="n">
        <v>4</v>
      </c>
      <c r="N5" s="11" t="inlineStr">
        <is>
          <t>2026-10-21</t>
        </is>
      </c>
    </row>
    <row r="6">
      <c r="A6" s="11" t="inlineStr">
        <is>
          <t>ETH</t>
        </is>
      </c>
      <c r="B6" s="12" t="n">
        <v>200</v>
      </c>
      <c r="C6" s="13" t="n">
        <v>0.00249046</v>
      </c>
      <c r="D6" s="14" t="n">
        <v>80306.44941095219</v>
      </c>
      <c r="E6" s="14" t="n">
        <v>77846.37</v>
      </c>
      <c r="F6" s="12">
        <f>IF(E6="","",C6*E6)</f>
        <v/>
      </c>
      <c r="G6" s="15">
        <f>IF(E6="","",F6/B6-1)</f>
        <v/>
      </c>
      <c r="H6" s="11" t="inlineStr">
        <is>
          <t>ยังสรุปแนวโน้มไม่ได้</t>
        </is>
      </c>
      <c r="I6" s="16" t="n">
        <v>0.006754</v>
      </c>
      <c r="J6" s="14" t="n">
        <v>85124.83637560933</v>
      </c>
      <c r="K6" s="14" t="n">
        <v>72275.80446985697</v>
      </c>
      <c r="L6" s="14" t="n">
        <v>64245.15952876175</v>
      </c>
      <c r="M6" s="11" t="n">
        <v>3</v>
      </c>
      <c r="N6" s="11" t="inlineStr">
        <is>
          <t>2026-10-21</t>
        </is>
      </c>
    </row>
    <row r="7">
      <c r="A7" s="11" t="inlineStr">
        <is>
          <t>DOGE</t>
        </is>
      </c>
      <c r="B7" s="12" t="n">
        <v>200</v>
      </c>
      <c r="C7" s="13" t="n">
        <v>73.05770132000001</v>
      </c>
      <c r="D7" s="14" t="n">
        <v>2.737562178749371</v>
      </c>
      <c r="E7" s="14" t="n">
        <v>2.6081</v>
      </c>
      <c r="F7" s="12">
        <f>IF(E7="","",C7*E7)</f>
        <v/>
      </c>
      <c r="G7" s="15">
        <f>IF(E7="","",F7/B7-1)</f>
        <v/>
      </c>
      <c r="H7" s="11" t="inlineStr">
        <is>
          <t>ยังสรุปแนวโน้มไม่ได้</t>
        </is>
      </c>
      <c r="I7" s="16" t="n">
        <v>0.005108000000000001</v>
      </c>
      <c r="J7" s="14" t="n">
        <v>2.901815909474333</v>
      </c>
      <c r="K7" s="14" t="n">
        <v>2.463805960874434</v>
      </c>
      <c r="L7" s="14" t="n">
        <v>2.190049742999497</v>
      </c>
      <c r="M7" s="11" t="n">
        <v>3</v>
      </c>
      <c r="N7" s="11" t="inlineStr">
        <is>
          <t>2026-10-21</t>
        </is>
      </c>
    </row>
    <row r="8">
      <c r="A8" s="11" t="inlineStr">
        <is>
          <t>SOL</t>
        </is>
      </c>
      <c r="B8" s="12" t="n">
        <v>200</v>
      </c>
      <c r="C8" s="13" t="n">
        <v>0.05611489</v>
      </c>
      <c r="D8" s="14" t="n">
        <v>3564.116404754603</v>
      </c>
      <c r="E8" s="14" t="n">
        <v>3366.06</v>
      </c>
      <c r="F8" s="12">
        <f>IF(E8="","",C8*E8)</f>
        <v/>
      </c>
      <c r="G8" s="15">
        <f>IF(E8="","",F8/B8-1)</f>
        <v/>
      </c>
      <c r="H8" s="11" t="inlineStr">
        <is>
          <t>Death Cross (ขาลง)</t>
        </is>
      </c>
      <c r="I8" s="16" t="n">
        <v>0.006656</v>
      </c>
      <c r="J8" s="14" t="n">
        <v>3777.963389039879</v>
      </c>
      <c r="K8" s="14" t="n">
        <v>3207.704764279143</v>
      </c>
      <c r="L8" s="14" t="n">
        <v>2851.293123803682</v>
      </c>
      <c r="M8" s="11" t="n">
        <v>2</v>
      </c>
      <c r="N8" s="11" t="inlineStr">
        <is>
          <t>2026-10-21</t>
        </is>
      </c>
    </row>
    <row r="9">
      <c r="A9" s="11" t="inlineStr">
        <is>
          <t>OP (ช้อน)</t>
        </is>
      </c>
      <c r="B9" s="12" t="n">
        <v>179.43</v>
      </c>
      <c r="C9" s="13" t="n">
        <v>45.67973523421588</v>
      </c>
      <c r="D9" s="14" t="n">
        <v>3.928</v>
      </c>
      <c r="E9" s="14" t="n">
        <v>3.729</v>
      </c>
      <c r="F9" s="12">
        <f>IF(E9="","",C9*E9)</f>
        <v/>
      </c>
      <c r="G9" s="15">
        <f>IF(E9="","",F9/B9-1)</f>
        <v/>
      </c>
      <c r="H9" s="11" t="inlineStr">
        <is>
          <t>ร่วง 12.8% ตอนช้อน</t>
        </is>
      </c>
      <c r="I9" s="16" t="n">
        <v>0.007098</v>
      </c>
      <c r="J9" s="14" t="n">
        <v>4.16368</v>
      </c>
      <c r="K9" s="14" t="n"/>
      <c r="L9" s="14" t="n">
        <v>3.1424</v>
      </c>
      <c r="M9" s="11" t="n">
        <v>1</v>
      </c>
      <c r="N9" s="11" t="inlineStr">
        <is>
          <t>2026-10-23</t>
        </is>
      </c>
    </row>
    <row r="10">
      <c r="A10" s="11" t="inlineStr">
        <is>
          <t>WLD (ช้อน)</t>
        </is>
      </c>
      <c r="B10" s="12" t="n">
        <v>180.07</v>
      </c>
      <c r="C10" s="13" t="n">
        <v>11.52079334612924</v>
      </c>
      <c r="D10" s="14" t="n">
        <v>15.63</v>
      </c>
      <c r="E10" s="14" t="n">
        <v>14.64</v>
      </c>
      <c r="F10" s="12">
        <f>IF(E10="","",C10*E10)</f>
        <v/>
      </c>
      <c r="G10" s="15">
        <f>IF(E10="","",F10/B10-1)</f>
        <v/>
      </c>
      <c r="H10" s="11" t="inlineStr">
        <is>
          <t>ร่วง 21.6% ตอนช้อน</t>
        </is>
      </c>
      <c r="I10" s="16" t="n">
        <v>0.017048</v>
      </c>
      <c r="J10" s="14" t="n">
        <v>16.5678</v>
      </c>
      <c r="K10" s="14" t="n"/>
      <c r="L10" s="14" t="n">
        <v>12.504</v>
      </c>
      <c r="M10" s="11" t="n">
        <v>1</v>
      </c>
      <c r="N10" s="11" t="inlineStr">
        <is>
          <t>2026-10-24</t>
        </is>
      </c>
    </row>
    <row r="11">
      <c r="A11" s="17" t="inlineStr">
        <is>
          <t>รวม</t>
        </is>
      </c>
      <c r="B11" s="18">
        <f>SUM(B4:B10)</f>
        <v/>
      </c>
      <c r="F11" s="18">
        <f>SUM(F4:F10)</f>
        <v/>
      </c>
      <c r="G11" s="19">
        <f>IF(B11=0,"",F11/B11-1)</f>
        <v/>
      </c>
    </row>
    <row r="12">
      <c r="A12" s="4" t="inlineStr">
        <is>
          <t>เงินบาทในกอง</t>
        </is>
      </c>
      <c r="F12" s="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0" customWidth="1" min="3" max="3"/>
  </cols>
  <sheetData>
    <row r="1">
      <c r="A1" s="1" t="inlineStr">
        <is>
          <t>ระบบตัดสินใจ (ค่าที่บอทใช้อยู่จริงตอนนี้)</t>
        </is>
      </c>
    </row>
    <row r="3">
      <c r="A3" s="10" t="inlineStr">
        <is>
          <t>กลุ่ม</t>
        </is>
      </c>
      <c r="B3" s="10" t="inlineStr">
        <is>
          <t>กติกา</t>
        </is>
      </c>
      <c r="C3" s="10" t="inlineStr">
        <is>
          <t>รายละเอียด</t>
        </is>
      </c>
    </row>
    <row r="4">
      <c r="A4" s="11" t="inlineStr">
        <is>
          <t>ขาย</t>
        </is>
      </c>
      <c r="B4" s="11" t="inlineStr">
        <is>
          <t>TP (ขายทำกำไร)</t>
        </is>
      </c>
      <c r="C4" s="11" t="inlineStr">
        <is>
          <t>+6.0% จากทุนเฉลี่ย → ขายทั้งหมด</t>
        </is>
      </c>
    </row>
    <row r="5">
      <c r="A5" s="11" t="inlineStr">
        <is>
          <t>ขาย</t>
        </is>
      </c>
      <c r="B5" s="11" t="inlineStr">
        <is>
          <t>ตัดตาม Death Cross</t>
        </is>
      </c>
      <c r="C5" s="11" t="inlineStr">
        <is>
          <t>ขาดทุนเกิน 10.0% และ MA12 ต่ำกว่า MA24 (กราฟรายชั่วโมง)</t>
        </is>
      </c>
    </row>
    <row r="6">
      <c r="A6" s="11" t="inlineStr">
        <is>
          <t>ขาย</t>
        </is>
      </c>
      <c r="B6" s="11" t="inlineStr">
        <is>
          <t>SL (ขายแน่นอน)</t>
        </is>
      </c>
      <c r="C6" s="11" t="inlineStr">
        <is>
          <t>-20.0% จากทุนเฉลี่ย</t>
        </is>
      </c>
    </row>
    <row r="7">
      <c r="A7" s="11" t="inlineStr">
        <is>
          <t>ซื้อ</t>
        </is>
      </c>
      <c r="B7" s="11" t="inlineStr">
        <is>
          <t>เลือกเหรียญ</t>
        </is>
      </c>
      <c r="C7" s="11" t="inlineStr">
        <is>
          <t>10 อันดับแรกตามมูลค่าซื้อขาย 24 ชม. บน Bitkub + BTC/ETH เสมอ · ตัดเหรียญที่ซื้อผ่าน API ไม่ได้</t>
        </is>
      </c>
    </row>
    <row r="8">
      <c r="A8" s="11" t="inlineStr">
        <is>
          <t>ซื้อ</t>
        </is>
      </c>
      <c r="B8" s="11" t="inlineStr">
        <is>
          <t>ลำดับซื้อ</t>
        </is>
      </c>
      <c r="C8" s="11" t="inlineStr">
        <is>
          <t>Golden Cross ที่ผันผวน ≤ 5.0% ได้ก่อน → ที่เหลือเรียงผันผวน 48 ชม. น้อยไปมาก</t>
        </is>
      </c>
    </row>
    <row r="9">
      <c r="A9" s="11" t="inlineStr">
        <is>
          <t>ซื้อ</t>
        </is>
      </c>
      <c r="B9" s="11" t="inlineStr">
        <is>
          <t>ขนาดซื้อ</t>
        </is>
      </c>
      <c r="C9" s="11" t="inlineStr">
        <is>
          <t>เติมแต่ละเหรียญให้ทุนครบ 200 บาท · ทุกตัวครบแล้วซื้อซ้ำได้ถึง 400 บาท · ขั้นต่ำ 20 บาท</t>
        </is>
      </c>
    </row>
    <row r="10">
      <c r="A10" s="11" t="inlineStr">
        <is>
          <t>ซื้อ</t>
        </is>
      </c>
      <c r="B10" s="11" t="inlineStr">
        <is>
          <t>ซื้อกลับหลังขาย</t>
        </is>
      </c>
      <c r="C10" s="11" t="inlineStr">
        <is>
          <t>รอ 24 ชม. + Golden Cross + ผันผวน ≤ 3.0%</t>
        </is>
      </c>
    </row>
    <row r="11">
      <c r="A11" s="11" t="inlineStr">
        <is>
          <t>จังหวะ</t>
        </is>
      </c>
      <c r="B11" s="11" t="inlineStr">
        <is>
          <t>รอบทำงาน</t>
        </is>
      </c>
      <c r="C11" s="11" t="inlineStr">
        <is>
          <t>จัดลำดับใหม่ทุกชั่วโมง · เช็คราคาและซื้อขายทุก 1 นาที</t>
        </is>
      </c>
    </row>
    <row r="12">
      <c r="A12" s="11" t="inlineStr">
        <is>
          <t>เงิน</t>
        </is>
      </c>
      <c r="B12" s="11" t="inlineStr">
        <is>
          <t>กองเงิน</t>
        </is>
      </c>
      <c r="C12" s="11" t="inlineStr">
        <is>
          <t>ทั้งบัญชี: เงินบาทในบัญชี = กองเงินบอท · กำไรทบลงทุนต่อ</t>
        </is>
      </c>
    </row>
    <row r="13">
      <c r="A13" s="11" t="inlineStr">
        <is>
          <t>เงิน</t>
        </is>
      </c>
      <c r="B13" s="11" t="inlineStr">
        <is>
          <t>แจ้งถอน</t>
        </is>
      </c>
      <c r="C13" s="11" t="inlineStr">
        <is>
          <t>พอร์ตโตเกินทุน 300 บาท → แจ้ง Telegram (ถอนเองในแอป แล้วพิมพ์ "ถอน X")</t>
        </is>
      </c>
    </row>
    <row r="14">
      <c r="A14" s="11" t="inlineStr">
        <is>
          <t>บันทึก</t>
        </is>
      </c>
      <c r="B14" s="11" t="inlineStr">
        <is>
          <t>ยังไม่ใช้ตัดสินใจ</t>
        </is>
      </c>
      <c r="C14" s="11" t="inlineStr">
        <is>
          <t>premium เทียบตลาดโลก · ความหนากระดาน · แรงซื้อ 200 รายการล่าสุด · ราคา 24 ชม. · แนวโน้ม BTC (รอพิสูจน์ ~30 ไม้)</t>
        </is>
      </c>
    </row>
    <row r="16">
      <c r="A16" s="17" t="inlineStr">
        <is>
          <t>ประวัติการเปลี่ยนกติกา</t>
        </is>
      </c>
    </row>
    <row r="17">
      <c r="A17" s="10" t="inlineStr">
        <is>
          <t>เวลา</t>
        </is>
      </c>
      <c r="B17" s="10" t="inlineStr">
        <is>
          <t>TP %</t>
        </is>
      </c>
      <c r="C17" s="10" t="inlineStr">
        <is>
          <t>SL %</t>
        </is>
      </c>
      <c r="D17" s="10" t="inlineStr">
        <is>
          <t>ตัดตาม DC</t>
        </is>
      </c>
      <c r="E17" s="10" t="inlineStr">
        <is>
          <t>จุดเริ่มตัด %</t>
        </is>
      </c>
      <c r="F17" s="10" t="inlineStr">
        <is>
          <t>ทุน/เหรียญ</t>
        </is>
      </c>
      <c r="G17" s="10" t="inlineStr">
        <is>
          <t>ค่าอื่นๆ</t>
        </is>
      </c>
    </row>
    <row r="18">
      <c r="A18" s="20" t="n">
        <v>46315.22000640029</v>
      </c>
      <c r="B18" s="11" t="n">
        <v>5</v>
      </c>
      <c r="C18" s="11" t="n">
        <v>15</v>
      </c>
      <c r="D18" s="11" t="inlineStr">
        <is>
          <t>ปิด</t>
        </is>
      </c>
      <c r="E18" s="11" t="n">
        <v>3</v>
      </c>
      <c r="F18" s="11" t="n">
        <v>50</v>
      </c>
      <c r="G18" s="11" t="inlineStr">
        <is>
          <t>{"interval_days": 7, "rebuy_max_risk_pct": 3.0, "rebuy_cooldown_hours": 24, "news_sentiment_weight": 5.0, "must_include": ["BTC", "ETH"]}</t>
        </is>
      </c>
    </row>
    <row r="19">
      <c r="A19" s="20" t="n">
        <v>46316.80528102243</v>
      </c>
      <c r="B19" s="11" t="n">
        <v>5</v>
      </c>
      <c r="C19" s="11" t="n">
        <v>15</v>
      </c>
      <c r="D19" s="11" t="inlineStr">
        <is>
          <t>ปิด</t>
        </is>
      </c>
      <c r="E19" s="11" t="n">
        <v>3</v>
      </c>
      <c r="F19" s="11" t="n">
        <v>50</v>
      </c>
      <c r="G19" s="11" t="inlineStr">
        <is>
          <t>{"interval_days": 7, "golden_cross_first": true, "withdraw_alert_thb": 300, "rebuy_max_risk_pct": 3.0, "rebuy_cooldown_hours": 24, "news_sentiment_weight": 5.0, "must_include": ["BTC", "ETH"]}</t>
        </is>
      </c>
    </row>
    <row r="20">
      <c r="A20" s="20" t="n">
        <v>46316.81348026475</v>
      </c>
      <c r="B20" s="11" t="n">
        <v>5</v>
      </c>
      <c r="C20" s="11" t="n">
        <v>15</v>
      </c>
      <c r="D20" s="11" t="inlineStr">
        <is>
          <t>ปิด</t>
        </is>
      </c>
      <c r="E20" s="11" t="n">
        <v>3</v>
      </c>
      <c r="F20" s="11" t="n">
        <v>200</v>
      </c>
      <c r="G20" s="11" t="inlineStr">
        <is>
          <t>{"interval_days": 7, "golden_cross_first": true, "withdraw_alert_thb": 300, "whole_account": true, "reinvest_profit": true, "max_per_coin_thb": 400, "min_order_thb": 20, "rebuy_max_risk_pct": 3.0, "rebuy_cooldown_hours": 24, "news_sentiment_weight": 5.0, "must_include": ["BTC", "ETH"]}</t>
        </is>
      </c>
    </row>
    <row r="21">
      <c r="A21" s="20" t="n">
        <v>46316.89103734245</v>
      </c>
      <c r="B21" s="11" t="n">
        <v>6</v>
      </c>
      <c r="C21" s="11" t="n">
        <v>20</v>
      </c>
      <c r="D21" s="11" t="inlineStr">
        <is>
          <t>เปิด</t>
        </is>
      </c>
      <c r="E21" s="11" t="n">
        <v>10</v>
      </c>
      <c r="F21" s="11" t="n">
        <v>200</v>
      </c>
      <c r="G21" s="11" t="inlineStr">
        <is>
          <t>{"interval_days": 7, "golden_cross_first": true, "gc_priority_max_risk_pct": 5.0, "withdraw_alert_thb": 300, "whole_account": true, "reinvest_profit": true, "max_per_coin_thb": 400, "min_order_thb": 20, "rebuy_max_risk_pct": 3.0, "rebuy_cooldown_hours": 24, "news_sentiment_weight": 5.0, "must_include": ["BTC", "ETH"]}</t>
        </is>
      </c>
    </row>
    <row r="22">
      <c r="A22" s="20" t="n">
        <v>46317.97334104183</v>
      </c>
      <c r="B22" s="11" t="n">
        <v>6</v>
      </c>
      <c r="C22" s="11" t="n">
        <v>20</v>
      </c>
      <c r="D22" s="11" t="inlineStr">
        <is>
          <t>เปิด</t>
        </is>
      </c>
      <c r="E22" s="11" t="n">
        <v>10</v>
      </c>
      <c r="F22" s="11" t="n">
        <v>200</v>
      </c>
      <c r="G22" s="11" t="inlineStr">
        <is>
          <t>{"interval_days": 7, "golden_cross_first": true, "gc_priority_max_risk_pct": 5.0, "withdraw_alert_thb": 300, "whole_account": true, "reinvest_profit": true, "max_per_coin_thb": 400, "min_order_thb": 20, "dip_enabled": true, "dip_reserve_pct": 30.0, "dip_drop_pct": 10.0, "dip_tp_pct": 6.0, "dip_sl_pct": 20.0, "dip_max_risk_pct": 8.0, "rebuy_max_risk_pct": 3.0, "rebuy_cooldown_hours": 24, "news_sentiment_weight": 5.0, "must_include": ["BTC", "ETH"]}</t>
        </is>
      </c>
    </row>
    <row r="23">
      <c r="A23" s="20" t="n">
        <v>46321.04969812403</v>
      </c>
      <c r="B23" s="11" t="n">
        <v>6</v>
      </c>
      <c r="C23" s="11" t="n">
        <v>20</v>
      </c>
      <c r="D23" s="11" t="inlineStr">
        <is>
          <t>เปิด</t>
        </is>
      </c>
      <c r="E23" s="11" t="n">
        <v>10</v>
      </c>
      <c r="F23" s="11" t="n">
        <v>200</v>
      </c>
      <c r="G23" s="11" t="inlineStr">
        <is>
          <t>{"interval_days": 7, "golden_cross_first": true, "gc_priority_max_risk_pct": 5.0, "withdraw_alert_thb": 300, "whole_account": true, "reinvest_profit": true, "max_per_coin_thb": 400, "min_order_thb": 20, "dip_enabled": true, "dip_reserve_pct": 30.0, "dip_drop_pct": 15.0, "dip_tp_pct": 6.0, "dip_sl_pct": 20.0, "dip_max_risk_pct": 8.0, "rebuy_max_risk_pct": 3.0, "rebuy_cooldown_hours": 24, "news_sentiment_weight": 5.0, "must_include": ["BTC", "ETH"]}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4" customWidth="1" min="4" max="4"/>
    <col width="9" customWidth="1" min="5" max="5"/>
    <col width="16" customWidth="1" min="6" max="6"/>
    <col width="12" customWidth="1" min="7" max="7"/>
    <col width="14" customWidth="1" min="8" max="8"/>
    <col width="10" customWidth="1" min="9" max="9"/>
    <col width="11" customWidth="1" min="10" max="10"/>
    <col width="9" customWidth="1" min="11" max="11"/>
    <col width="22" customWidth="1" min="12" max="12"/>
    <col width="9" customWidth="1" min="13" max="13"/>
    <col width="10" customWidth="1" min="14" max="14"/>
    <col width="12" customWidth="1" min="15" max="15"/>
    <col width="9" customWidth="1" min="16" max="16"/>
    <col width="9" customWidth="1" min="17" max="17"/>
    <col width="8" customWidth="1" min="18" max="18"/>
    <col width="30" customWidth="1" min="19" max="19"/>
  </cols>
  <sheetData>
    <row r="1">
      <c r="A1" s="1" t="inlineStr">
        <is>
          <t>ทุกไม้ที่ซื้อ และผลลัพธ์ (trade journal)</t>
        </is>
      </c>
    </row>
    <row r="2">
      <c r="A2" s="2" t="inlineStr">
        <is>
          <t>สภาพตลาดตอนซื้อบันทึกไว้เพื่อหาว่าปัจจัยไหนช่วยให้ชนะ</t>
        </is>
      </c>
    </row>
    <row r="3">
      <c r="A3" s="10" t="inlineStr">
        <is>
          <t>ซื้อเมื่อ</t>
        </is>
      </c>
      <c r="B3" s="10" t="inlineStr">
        <is>
          <t>เหรียญ</t>
        </is>
      </c>
      <c r="C3" s="10" t="inlineStr">
        <is>
          <t>ทุน</t>
        </is>
      </c>
      <c r="D3" s="10" t="inlineStr">
        <is>
          <t>ราคาซื้อ</t>
        </is>
      </c>
      <c r="E3" s="10" t="inlineStr">
        <is>
          <t>สถานะ</t>
        </is>
      </c>
      <c r="F3" s="10" t="inlineStr">
        <is>
          <t>ปิดเมื่อ</t>
        </is>
      </c>
      <c r="G3" s="10" t="inlineStr">
        <is>
          <t>เหตุผลขาย</t>
        </is>
      </c>
      <c r="H3" s="10" t="inlineStr">
        <is>
          <t>ราคาขาย</t>
        </is>
      </c>
      <c r="I3" s="10" t="inlineStr">
        <is>
          <t>ได้คืน</t>
        </is>
      </c>
      <c r="J3" s="10" t="inlineStr">
        <is>
          <t>กำไร/ขาดทุน</t>
        </is>
      </c>
      <c r="K3" s="10" t="inlineStr">
        <is>
          <t>%</t>
        </is>
      </c>
      <c r="L3" s="10" t="inlineStr">
        <is>
          <t>แนวโน้มตอนซื้อ</t>
        </is>
      </c>
      <c r="M3" s="10" t="inlineStr">
        <is>
          <t>ผันผวน %</t>
        </is>
      </c>
      <c r="N3" s="10" t="inlineStr">
        <is>
          <t>premium %</t>
        </is>
      </c>
      <c r="O3" s="10" t="inlineStr">
        <is>
          <t>ความหนากระดาน</t>
        </is>
      </c>
      <c r="P3" s="10" t="inlineStr">
        <is>
          <t>แรงซื้อ %</t>
        </is>
      </c>
      <c r="Q3" s="10" t="inlineStr">
        <is>
          <t>GC ได้ก่อน</t>
        </is>
      </c>
      <c r="R3" s="10" t="inlineStr">
        <is>
          <t>ซื้อกลับ</t>
        </is>
      </c>
      <c r="S3" s="10" t="inlineStr">
        <is>
          <t>หมายเหตุ</t>
        </is>
      </c>
    </row>
    <row r="4">
      <c r="A4" s="20" t="n">
        <v>46303</v>
      </c>
      <c r="B4" s="11" t="inlineStr">
        <is>
          <t>BTC</t>
        </is>
      </c>
      <c r="C4" s="12" t="n">
        <v>139.98</v>
      </c>
      <c r="D4" s="14" t="n">
        <v>2757000</v>
      </c>
      <c r="E4" s="11" t="inlineStr">
        <is>
          <t>ถืออยู่</t>
        </is>
      </c>
      <c r="F4" s="11" t="n"/>
      <c r="G4" s="11" t="n"/>
      <c r="H4" s="14" t="n"/>
      <c r="I4" s="12" t="n"/>
      <c r="J4" s="12" t="n"/>
      <c r="K4" s="15" t="n"/>
      <c r="L4" s="11" t="n"/>
      <c r="M4" s="11" t="n"/>
      <c r="N4" s="11" t="n"/>
      <c r="O4" s="11" t="n"/>
      <c r="P4" s="11" t="n"/>
      <c r="Q4" s="11" t="inlineStr"/>
      <c r="R4" s="11" t="inlineStr"/>
      <c r="S4" s="11" t="inlineStr">
        <is>
          <t>ผู้ใช้ซื้อเองก่อนรวมทั้งบัญชีเข้าบอท</t>
        </is>
      </c>
    </row>
    <row r="5">
      <c r="A5" s="20" t="n">
        <v>46310</v>
      </c>
      <c r="B5" s="11" t="inlineStr">
        <is>
          <t>ETH</t>
        </is>
      </c>
      <c r="C5" s="12" t="n">
        <v>124.7</v>
      </c>
      <c r="D5" s="14" t="n">
        <v>79500</v>
      </c>
      <c r="E5" s="11" t="inlineStr">
        <is>
          <t>ถืออยู่</t>
        </is>
      </c>
      <c r="F5" s="11" t="n"/>
      <c r="G5" s="11" t="n"/>
      <c r="H5" s="14" t="n"/>
      <c r="I5" s="12" t="n"/>
      <c r="J5" s="12" t="n"/>
      <c r="K5" s="15" t="n"/>
      <c r="L5" s="11" t="n"/>
      <c r="M5" s="11" t="n"/>
      <c r="N5" s="11" t="n"/>
      <c r="O5" s="11" t="n"/>
      <c r="P5" s="11" t="n"/>
      <c r="Q5" s="11" t="inlineStr"/>
      <c r="R5" s="11" t="inlineStr"/>
      <c r="S5" s="11" t="inlineStr">
        <is>
          <t>ผู้ใช้ซื้อเองก่อนรวมทั้งบัญชีเข้าบอท</t>
        </is>
      </c>
    </row>
    <row r="6">
      <c r="A6" s="20" t="n">
        <v>46311</v>
      </c>
      <c r="B6" s="11" t="inlineStr">
        <is>
          <t>BTC</t>
        </is>
      </c>
      <c r="C6" s="12" t="n">
        <v>50</v>
      </c>
      <c r="D6" s="14" t="n">
        <v>2731315.01</v>
      </c>
      <c r="E6" s="11" t="inlineStr">
        <is>
          <t>ถืออยู่</t>
        </is>
      </c>
      <c r="F6" s="11" t="n"/>
      <c r="G6" s="11" t="n"/>
      <c r="H6" s="14" t="n"/>
      <c r="I6" s="12" t="n"/>
      <c r="J6" s="12" t="n"/>
      <c r="K6" s="15" t="n"/>
      <c r="L6" s="11" t="n"/>
      <c r="M6" s="11" t="n"/>
      <c r="N6" s="11" t="n"/>
      <c r="O6" s="11" t="n"/>
      <c r="P6" s="11" t="n"/>
      <c r="Q6" s="11" t="inlineStr"/>
      <c r="R6" s="11" t="inlineStr"/>
      <c r="S6" s="11" t="inlineStr">
        <is>
          <t>ซื้อก่อนเริ่มบันทึกสภาพตลาด</t>
        </is>
      </c>
    </row>
    <row r="7">
      <c r="A7" s="20" t="n">
        <v>46311</v>
      </c>
      <c r="B7" s="11" t="inlineStr">
        <is>
          <t>SOL</t>
        </is>
      </c>
      <c r="C7" s="12" t="n">
        <v>50</v>
      </c>
      <c r="D7" s="14" t="n">
        <v>3510.46</v>
      </c>
      <c r="E7" s="11" t="inlineStr">
        <is>
          <t>ปิดแล้ว</t>
        </is>
      </c>
      <c r="F7" s="20" t="n">
        <v>46313.19379911383</v>
      </c>
      <c r="G7" s="11" t="inlineStr">
        <is>
          <t>signal_cut</t>
        </is>
      </c>
      <c r="H7" s="14" t="n">
        <v>3385.52</v>
      </c>
      <c r="I7" s="12" t="n">
        <v>47.9794</v>
      </c>
      <c r="J7" s="21" t="n">
        <v>-2.0206</v>
      </c>
      <c r="K7" s="15" t="n">
        <v>-0.04041</v>
      </c>
      <c r="L7" s="11" t="n"/>
      <c r="M7" s="11" t="n"/>
      <c r="N7" s="11" t="n"/>
      <c r="O7" s="11" t="n"/>
      <c r="P7" s="11" t="n"/>
      <c r="Q7" s="11" t="inlineStr"/>
      <c r="R7" s="11" t="inlineStr"/>
      <c r="S7" s="11" t="inlineStr">
        <is>
          <t>ซื้อก่อนเริ่มบันทึกสภาพตลาด</t>
        </is>
      </c>
    </row>
    <row r="8">
      <c r="A8" s="20" t="n">
        <v>46311</v>
      </c>
      <c r="B8" s="11" t="inlineStr">
        <is>
          <t>XRP</t>
        </is>
      </c>
      <c r="C8" s="12" t="n">
        <v>50</v>
      </c>
      <c r="D8" s="14" t="n">
        <v>43.67</v>
      </c>
      <c r="E8" s="11" t="inlineStr">
        <is>
          <t>ปิดแล้ว</t>
        </is>
      </c>
      <c r="F8" s="20" t="n">
        <v>46314.10668618887</v>
      </c>
      <c r="G8" s="11" t="inlineStr">
        <is>
          <t>signal_cut</t>
        </is>
      </c>
      <c r="H8" s="14" t="n">
        <v>42.21</v>
      </c>
      <c r="I8" s="12" t="n">
        <v>48.0867</v>
      </c>
      <c r="J8" s="21" t="n">
        <v>-1.9133</v>
      </c>
      <c r="K8" s="15" t="n">
        <v>-0.03827</v>
      </c>
      <c r="L8" s="11" t="n"/>
      <c r="M8" s="11" t="n"/>
      <c r="N8" s="11" t="n"/>
      <c r="O8" s="11" t="n"/>
      <c r="P8" s="11" t="n"/>
      <c r="Q8" s="11" t="inlineStr"/>
      <c r="R8" s="11" t="inlineStr"/>
      <c r="S8" s="11" t="inlineStr">
        <is>
          <t>ซื้อก่อนเริ่มบันทึกสภาพตลาด</t>
        </is>
      </c>
    </row>
    <row r="9">
      <c r="A9" s="20" t="n">
        <v>46311</v>
      </c>
      <c r="B9" s="11" t="inlineStr">
        <is>
          <t>XLM</t>
        </is>
      </c>
      <c r="C9" s="12" t="n">
        <v>50</v>
      </c>
      <c r="D9" s="14" t="n">
        <v>5.988</v>
      </c>
      <c r="E9" s="11" t="inlineStr">
        <is>
          <t>ปิดแล้ว</t>
        </is>
      </c>
      <c r="F9" s="20" t="n">
        <v>46314.04800844227</v>
      </c>
      <c r="G9" s="11" t="inlineStr">
        <is>
          <t>signal_cut</t>
        </is>
      </c>
      <c r="H9" s="14" t="n">
        <v>5.817</v>
      </c>
      <c r="I9" s="12" t="n">
        <v>48.3293</v>
      </c>
      <c r="J9" s="21" t="n">
        <v>-1.6707</v>
      </c>
      <c r="K9" s="15" t="n">
        <v>-0.03341</v>
      </c>
      <c r="L9" s="11" t="n"/>
      <c r="M9" s="11" t="n"/>
      <c r="N9" s="11" t="n"/>
      <c r="O9" s="11" t="n"/>
      <c r="P9" s="11" t="n"/>
      <c r="Q9" s="11" t="inlineStr"/>
      <c r="R9" s="11" t="inlineStr"/>
      <c r="S9" s="11" t="inlineStr">
        <is>
          <t>ซื้อก่อนเริ่มบันทึกสภาพตลาด</t>
        </is>
      </c>
    </row>
    <row r="10">
      <c r="A10" s="20" t="n">
        <v>46311</v>
      </c>
      <c r="B10" s="11" t="inlineStr">
        <is>
          <t>ETH</t>
        </is>
      </c>
      <c r="C10" s="12" t="n">
        <v>50</v>
      </c>
      <c r="D10" s="14" t="n">
        <v>81415.25</v>
      </c>
      <c r="E10" s="11" t="inlineStr">
        <is>
          <t>ปิดแล้ว</t>
        </is>
      </c>
      <c r="F10" s="20" t="n">
        <v>46314.10040948507</v>
      </c>
      <c r="G10" s="11" t="inlineStr">
        <is>
          <t>signal_cut</t>
        </is>
      </c>
      <c r="H10" s="14" t="n">
        <v>78854.84</v>
      </c>
      <c r="I10" s="12" t="n">
        <v>48.4274</v>
      </c>
      <c r="J10" s="21" t="n">
        <v>-1.5726</v>
      </c>
      <c r="K10" s="15" t="n">
        <v>-0.03145</v>
      </c>
      <c r="L10" s="11" t="n"/>
      <c r="M10" s="11" t="n"/>
      <c r="N10" s="11" t="n"/>
      <c r="O10" s="11" t="n"/>
      <c r="P10" s="11" t="n"/>
      <c r="Q10" s="11" t="inlineStr"/>
      <c r="R10" s="11" t="inlineStr"/>
      <c r="S10" s="11" t="inlineStr">
        <is>
          <t>ซื้อก่อนเริ่มบันทึกสภาพตลาด</t>
        </is>
      </c>
    </row>
    <row r="11">
      <c r="A11" s="20" t="n">
        <v>46311</v>
      </c>
      <c r="B11" s="11" t="inlineStr">
        <is>
          <t>DOGE</t>
        </is>
      </c>
      <c r="C11" s="12" t="n">
        <v>50</v>
      </c>
      <c r="D11" s="14" t="n">
        <v>2.6849</v>
      </c>
      <c r="E11" s="11" t="inlineStr">
        <is>
          <t>ปิดแล้ว</t>
        </is>
      </c>
      <c r="F11" s="20" t="n">
        <v>46313.19374551323</v>
      </c>
      <c r="G11" s="11" t="inlineStr">
        <is>
          <t>signal_cut</t>
        </is>
      </c>
      <c r="H11" s="14" t="n">
        <v>2.6003</v>
      </c>
      <c r="I11" s="12" t="n">
        <v>48.1824</v>
      </c>
      <c r="J11" s="21" t="n">
        <v>-1.8176</v>
      </c>
      <c r="K11" s="15" t="n">
        <v>-0.03635</v>
      </c>
      <c r="L11" s="11" t="n"/>
      <c r="M11" s="11" t="n"/>
      <c r="N11" s="11" t="n"/>
      <c r="O11" s="11" t="n"/>
      <c r="P11" s="11" t="n"/>
      <c r="Q11" s="11" t="inlineStr"/>
      <c r="R11" s="11" t="inlineStr"/>
      <c r="S11" s="11" t="inlineStr">
        <is>
          <t>ซื้อก่อนเริ่มบันทึกสภาพตลาด</t>
        </is>
      </c>
    </row>
    <row r="12">
      <c r="A12" s="20" t="n">
        <v>46311</v>
      </c>
      <c r="B12" s="11" t="inlineStr">
        <is>
          <t>ADA</t>
        </is>
      </c>
      <c r="C12" s="12" t="n">
        <v>50</v>
      </c>
      <c r="D12" s="14" t="n">
        <v>7.459</v>
      </c>
      <c r="E12" s="11" t="inlineStr">
        <is>
          <t>ปิดแล้ว</t>
        </is>
      </c>
      <c r="F12" s="20" t="n">
        <v>46313.19304259934</v>
      </c>
      <c r="G12" s="11" t="inlineStr">
        <is>
          <t>signal_cut</t>
        </is>
      </c>
      <c r="H12" s="14" t="n">
        <v>7.206</v>
      </c>
      <c r="I12" s="12" t="n">
        <v>48.0625</v>
      </c>
      <c r="J12" s="21" t="n">
        <v>-1.9375</v>
      </c>
      <c r="K12" s="15" t="n">
        <v>-0.03875</v>
      </c>
      <c r="L12" s="11" t="n"/>
      <c r="M12" s="11" t="n"/>
      <c r="N12" s="11" t="n"/>
      <c r="O12" s="11" t="n"/>
      <c r="P12" s="11" t="n"/>
      <c r="Q12" s="11" t="inlineStr"/>
      <c r="R12" s="11" t="inlineStr"/>
      <c r="S12" s="11" t="inlineStr">
        <is>
          <t>ซื้อก่อนเริ่มบันทึกสภาพตลาด</t>
        </is>
      </c>
    </row>
    <row r="13">
      <c r="A13" s="20" t="n">
        <v>46311</v>
      </c>
      <c r="B13" s="11" t="inlineStr">
        <is>
          <t>CRV</t>
        </is>
      </c>
      <c r="C13" s="12" t="n">
        <v>50</v>
      </c>
      <c r="D13" s="14" t="n">
        <v>11.47</v>
      </c>
      <c r="E13" s="11" t="inlineStr">
        <is>
          <t>ปิดแล้ว</t>
        </is>
      </c>
      <c r="F13" s="20" t="n">
        <v>46314.10047112058</v>
      </c>
      <c r="G13" s="11" t="inlineStr">
        <is>
          <t>signal_cut</t>
        </is>
      </c>
      <c r="H13" s="14" t="n">
        <v>11.11</v>
      </c>
      <c r="I13" s="12" t="n">
        <v>48.1885</v>
      </c>
      <c r="J13" s="21" t="n">
        <v>-1.8115</v>
      </c>
      <c r="K13" s="15" t="n">
        <v>-0.03623000000000001</v>
      </c>
      <c r="L13" s="11" t="n"/>
      <c r="M13" s="11" t="n"/>
      <c r="N13" s="11" t="n"/>
      <c r="O13" s="11" t="n"/>
      <c r="P13" s="11" t="n"/>
      <c r="Q13" s="11" t="inlineStr"/>
      <c r="R13" s="11" t="inlineStr"/>
      <c r="S13" s="11" t="inlineStr">
        <is>
          <t>ซื้อก่อนเริ่มบันทึกสภาพตลาด</t>
        </is>
      </c>
    </row>
    <row r="14">
      <c r="A14" s="20" t="n">
        <v>46312</v>
      </c>
      <c r="B14" s="11" t="inlineStr">
        <is>
          <t>BTC</t>
        </is>
      </c>
      <c r="C14" s="12" t="n">
        <v>50</v>
      </c>
      <c r="D14" s="14" t="n">
        <v>2726616.98</v>
      </c>
      <c r="E14" s="11" t="inlineStr">
        <is>
          <t>ถืออยู่</t>
        </is>
      </c>
      <c r="F14" s="11" t="n"/>
      <c r="G14" s="11" t="n"/>
      <c r="H14" s="14" t="n"/>
      <c r="I14" s="12" t="n"/>
      <c r="J14" s="12" t="n"/>
      <c r="K14" s="15" t="n"/>
      <c r="L14" s="11" t="n"/>
      <c r="M14" s="11" t="n"/>
      <c r="N14" s="11" t="n"/>
      <c r="O14" s="11" t="n"/>
      <c r="P14" s="11" t="n"/>
      <c r="Q14" s="11" t="inlineStr"/>
      <c r="R14" s="11" t="inlineStr"/>
      <c r="S14" s="11" t="inlineStr">
        <is>
          <t>ซื้อก่อนเริ่มบันทึกสภาพตลาด</t>
        </is>
      </c>
    </row>
    <row r="15">
      <c r="A15" s="20" t="n">
        <v>46312</v>
      </c>
      <c r="B15" s="11" t="inlineStr">
        <is>
          <t>DOGE</t>
        </is>
      </c>
      <c r="C15" s="12" t="n">
        <v>50</v>
      </c>
      <c r="D15" s="14" t="n">
        <v>2.6805</v>
      </c>
      <c r="E15" s="11" t="inlineStr">
        <is>
          <t>ปิดแล้ว</t>
        </is>
      </c>
      <c r="F15" s="20" t="n">
        <v>46313.19374551332</v>
      </c>
      <c r="G15" s="11" t="inlineStr">
        <is>
          <t>signal_cut</t>
        </is>
      </c>
      <c r="H15" s="14" t="n">
        <v>2.6003</v>
      </c>
      <c r="I15" s="12" t="n">
        <v>48.2615</v>
      </c>
      <c r="J15" s="21" t="n">
        <v>-1.7385</v>
      </c>
      <c r="K15" s="15" t="n">
        <v>-0.03477</v>
      </c>
      <c r="L15" s="11" t="n"/>
      <c r="M15" s="11" t="n"/>
      <c r="N15" s="11" t="n"/>
      <c r="O15" s="11" t="n"/>
      <c r="P15" s="11" t="n"/>
      <c r="Q15" s="11" t="inlineStr"/>
      <c r="R15" s="11" t="inlineStr"/>
      <c r="S15" s="11" t="inlineStr">
        <is>
          <t>ซื้อก่อนเริ่มบันทึกสภาพตลาด</t>
        </is>
      </c>
    </row>
    <row r="16">
      <c r="A16" s="20" t="n">
        <v>46312</v>
      </c>
      <c r="B16" s="11" t="inlineStr">
        <is>
          <t>ETH</t>
        </is>
      </c>
      <c r="C16" s="12" t="n">
        <v>50</v>
      </c>
      <c r="D16" s="14" t="n">
        <v>81384.28999999999</v>
      </c>
      <c r="E16" s="11" t="inlineStr">
        <is>
          <t>ปิดแล้ว</t>
        </is>
      </c>
      <c r="F16" s="20" t="n">
        <v>46314.10040948517</v>
      </c>
      <c r="G16" s="11" t="inlineStr">
        <is>
          <t>signal_cut</t>
        </is>
      </c>
      <c r="H16" s="14" t="n">
        <v>78854.84</v>
      </c>
      <c r="I16" s="12" t="n">
        <v>48.4458</v>
      </c>
      <c r="J16" s="21" t="n">
        <v>-1.5542</v>
      </c>
      <c r="K16" s="15" t="n">
        <v>-0.03108</v>
      </c>
      <c r="L16" s="11" t="n"/>
      <c r="M16" s="11" t="n"/>
      <c r="N16" s="11" t="n"/>
      <c r="O16" s="11" t="n"/>
      <c r="P16" s="11" t="n"/>
      <c r="Q16" s="11" t="inlineStr"/>
      <c r="R16" s="11" t="inlineStr"/>
      <c r="S16" s="11" t="inlineStr">
        <is>
          <t>ซื้อก่อนเริ่มบันทึกสภาพตลาด</t>
        </is>
      </c>
    </row>
    <row r="17">
      <c r="A17" s="20" t="n">
        <v>46312</v>
      </c>
      <c r="B17" s="11" t="inlineStr">
        <is>
          <t>SOL</t>
        </is>
      </c>
      <c r="C17" s="12" t="n">
        <v>50</v>
      </c>
      <c r="D17" s="14" t="n">
        <v>3499.9</v>
      </c>
      <c r="E17" s="11" t="inlineStr">
        <is>
          <t>ปิดแล้ว</t>
        </is>
      </c>
      <c r="F17" s="20" t="n">
        <v>46313.19379911395</v>
      </c>
      <c r="G17" s="11" t="inlineStr">
        <is>
          <t>signal_cut</t>
        </is>
      </c>
      <c r="H17" s="14" t="n">
        <v>3385.52</v>
      </c>
      <c r="I17" s="12" t="n">
        <v>48.1241</v>
      </c>
      <c r="J17" s="21" t="n">
        <v>-1.8759</v>
      </c>
      <c r="K17" s="15" t="n">
        <v>-0.03752</v>
      </c>
      <c r="L17" s="11" t="n"/>
      <c r="M17" s="11" t="n"/>
      <c r="N17" s="11" t="n"/>
      <c r="O17" s="11" t="n"/>
      <c r="P17" s="11" t="n"/>
      <c r="Q17" s="11" t="inlineStr"/>
      <c r="R17" s="11" t="inlineStr"/>
      <c r="S17" s="11" t="inlineStr">
        <is>
          <t>ซื้อก่อนเริ่มบันทึกสภาพตลาด</t>
        </is>
      </c>
    </row>
    <row r="18">
      <c r="A18" s="20" t="n">
        <v>46312</v>
      </c>
      <c r="B18" s="11" t="inlineStr">
        <is>
          <t>XLM</t>
        </is>
      </c>
      <c r="C18" s="12" t="n">
        <v>50</v>
      </c>
      <c r="D18" s="14" t="n">
        <v>5.996</v>
      </c>
      <c r="E18" s="11" t="inlineStr">
        <is>
          <t>ปิดแล้ว</t>
        </is>
      </c>
      <c r="F18" s="20" t="n">
        <v>46314.0480084424</v>
      </c>
      <c r="G18" s="11" t="inlineStr">
        <is>
          <t>signal_cut</t>
        </is>
      </c>
      <c r="H18" s="14" t="n">
        <v>5.817</v>
      </c>
      <c r="I18" s="12" t="n">
        <v>48.2648</v>
      </c>
      <c r="J18" s="21" t="n">
        <v>-1.7352</v>
      </c>
      <c r="K18" s="15" t="n">
        <v>-0.0347</v>
      </c>
      <c r="L18" s="11" t="n"/>
      <c r="M18" s="11" t="n"/>
      <c r="N18" s="11" t="n"/>
      <c r="O18" s="11" t="n"/>
      <c r="P18" s="11" t="n"/>
      <c r="Q18" s="11" t="inlineStr"/>
      <c r="R18" s="11" t="inlineStr"/>
      <c r="S18" s="11" t="inlineStr">
        <is>
          <t>ซื้อก่อนเริ่มบันทึกสภาพตลาด</t>
        </is>
      </c>
    </row>
    <row r="19">
      <c r="A19" s="20" t="n">
        <v>46312</v>
      </c>
      <c r="B19" s="11" t="inlineStr">
        <is>
          <t>XRP</t>
        </is>
      </c>
      <c r="C19" s="12" t="n">
        <v>50</v>
      </c>
      <c r="D19" s="14" t="n">
        <v>43.63</v>
      </c>
      <c r="E19" s="11" t="inlineStr">
        <is>
          <t>ปิดแล้ว</t>
        </is>
      </c>
      <c r="F19" s="20" t="n">
        <v>46314.10668618899</v>
      </c>
      <c r="G19" s="11" t="inlineStr">
        <is>
          <t>signal_cut</t>
        </is>
      </c>
      <c r="H19" s="14" t="n">
        <v>42.21</v>
      </c>
      <c r="I19" s="12" t="n">
        <v>48.1308</v>
      </c>
      <c r="J19" s="21" t="n">
        <v>-1.8692</v>
      </c>
      <c r="K19" s="15" t="n">
        <v>-0.03738</v>
      </c>
      <c r="L19" s="11" t="n"/>
      <c r="M19" s="11" t="n"/>
      <c r="N19" s="11" t="n"/>
      <c r="O19" s="11" t="n"/>
      <c r="P19" s="11" t="n"/>
      <c r="Q19" s="11" t="inlineStr"/>
      <c r="R19" s="11" t="inlineStr"/>
      <c r="S19" s="11" t="inlineStr">
        <is>
          <t>ซื้อก่อนเริ่มบันทึกสภาพตลาด</t>
        </is>
      </c>
    </row>
    <row r="20">
      <c r="A20" s="20" t="n">
        <v>46313.19383704706</v>
      </c>
      <c r="B20" s="11" t="inlineStr">
        <is>
          <t>WLD</t>
        </is>
      </c>
      <c r="C20" s="12" t="n">
        <v>50</v>
      </c>
      <c r="D20" s="14" t="n">
        <v>16.17</v>
      </c>
      <c r="E20" s="11" t="inlineStr">
        <is>
          <t>ปิดแล้ว</t>
        </is>
      </c>
      <c r="F20" s="20" t="n">
        <v>46313.7000316344</v>
      </c>
      <c r="G20" s="11" t="inlineStr">
        <is>
          <t>take_profit</t>
        </is>
      </c>
      <c r="H20" s="14" t="n">
        <v>16.87</v>
      </c>
      <c r="I20" s="12" t="n">
        <v>51.9037</v>
      </c>
      <c r="J20" s="22" t="n">
        <v>1.9037</v>
      </c>
      <c r="K20" s="15" t="n">
        <v>0.03807</v>
      </c>
      <c r="L20" s="11" t="inlineStr">
        <is>
          <t>Death Cross (ขาลง)</t>
        </is>
      </c>
      <c r="M20" s="11" t="n">
        <v>2.5615</v>
      </c>
      <c r="N20" s="11" t="n">
        <v>0.264</v>
      </c>
      <c r="O20" s="11" t="n">
        <v>0.334</v>
      </c>
      <c r="P20" s="11" t="n">
        <v>31.2</v>
      </c>
      <c r="Q20" s="11" t="inlineStr"/>
      <c r="R20" s="11" t="inlineStr"/>
      <c r="S20" s="11" t="inlineStr"/>
    </row>
    <row r="21">
      <c r="A21" s="20" t="n">
        <v>46313.19387332649</v>
      </c>
      <c r="B21" s="11" t="inlineStr">
        <is>
          <t>NEAR</t>
        </is>
      </c>
      <c r="C21" s="12" t="n">
        <v>50</v>
      </c>
      <c r="D21" s="14" t="n">
        <v>160.52</v>
      </c>
      <c r="E21" s="11" t="inlineStr">
        <is>
          <t>ปิดแล้ว</t>
        </is>
      </c>
      <c r="F21" s="20" t="n">
        <v>46313.41152283677</v>
      </c>
      <c r="G21" s="11" t="inlineStr">
        <is>
          <t>take_profit</t>
        </is>
      </c>
      <c r="H21" s="14" t="n">
        <v>167.06</v>
      </c>
      <c r="I21" s="12" t="n">
        <v>51.7769</v>
      </c>
      <c r="J21" s="22" t="n">
        <v>1.7769</v>
      </c>
      <c r="K21" s="15" t="n">
        <v>0.03554</v>
      </c>
      <c r="L21" s="11" t="inlineStr">
        <is>
          <t>Death Cross (ขาลง)</t>
        </is>
      </c>
      <c r="M21" s="11" t="n">
        <v>2.4404</v>
      </c>
      <c r="N21" s="11" t="n">
        <v>0.174</v>
      </c>
      <c r="O21" s="11" t="n">
        <v>0.621</v>
      </c>
      <c r="P21" s="11" t="n">
        <v>44.8</v>
      </c>
      <c r="Q21" s="11" t="inlineStr"/>
      <c r="R21" s="11" t="inlineStr"/>
      <c r="S21" s="11" t="inlineStr"/>
    </row>
    <row r="22">
      <c r="A22" s="20" t="n">
        <v>46313.19391891351</v>
      </c>
      <c r="B22" s="11" t="inlineStr">
        <is>
          <t>EPIC</t>
        </is>
      </c>
      <c r="C22" s="12" t="n">
        <v>50</v>
      </c>
      <c r="D22" s="14" t="n">
        <v>9</v>
      </c>
      <c r="E22" s="11" t="inlineStr">
        <is>
          <t>ปิดแล้ว</t>
        </is>
      </c>
      <c r="F22" s="20" t="n">
        <v>46313.26741271059</v>
      </c>
      <c r="G22" s="11" t="inlineStr">
        <is>
          <t>take_profit</t>
        </is>
      </c>
      <c r="H22" s="14" t="n">
        <v>9.52</v>
      </c>
      <c r="I22" s="12" t="n">
        <v>52.6244</v>
      </c>
      <c r="J22" s="22" t="n">
        <v>2.6244</v>
      </c>
      <c r="K22" s="15" t="n">
        <v>0.05248999999999999</v>
      </c>
      <c r="L22" s="11" t="inlineStr">
        <is>
          <t>Golden Cross (ขาขึ้น)</t>
        </is>
      </c>
      <c r="M22" s="11" t="n">
        <v>11.0517</v>
      </c>
      <c r="N22" s="11" t="n">
        <v>1.067</v>
      </c>
      <c r="O22" s="11" t="n">
        <v>-0.139</v>
      </c>
      <c r="P22" s="11" t="n">
        <v>57.3</v>
      </c>
      <c r="Q22" s="11" t="inlineStr"/>
      <c r="R22" s="11" t="inlineStr"/>
      <c r="S22" s="11" t="inlineStr"/>
    </row>
    <row r="23">
      <c r="A23" s="20" t="n">
        <v>46313.5101064412</v>
      </c>
      <c r="B23" s="11" t="inlineStr">
        <is>
          <t>DOGE</t>
        </is>
      </c>
      <c r="C23" s="12" t="n">
        <v>50</v>
      </c>
      <c r="D23" s="14" t="n">
        <v>2.655800000000001</v>
      </c>
      <c r="E23" s="11" t="inlineStr">
        <is>
          <t>ปิดแล้ว</t>
        </is>
      </c>
      <c r="F23" s="20" t="n">
        <v>46314.10672331565</v>
      </c>
      <c r="G23" s="11" t="inlineStr">
        <is>
          <t>signal_cut</t>
        </is>
      </c>
      <c r="H23" s="14" t="n">
        <v>2.5642</v>
      </c>
      <c r="I23" s="12" t="n">
        <v>48.2755</v>
      </c>
      <c r="J23" s="21" t="n">
        <v>-1.7245</v>
      </c>
      <c r="K23" s="15" t="n">
        <v>-0.03449</v>
      </c>
      <c r="L23" s="11" t="inlineStr">
        <is>
          <t>ยังสรุปแนวโน้มไม่ได้</t>
        </is>
      </c>
      <c r="M23" s="11" t="n">
        <v>1.2138</v>
      </c>
      <c r="N23" s="11" t="n">
        <v>0.052</v>
      </c>
      <c r="O23" s="11" t="n">
        <v>0.237</v>
      </c>
      <c r="P23" s="11" t="n">
        <v>54.5</v>
      </c>
      <c r="Q23" s="11" t="inlineStr"/>
      <c r="R23" s="11" t="inlineStr">
        <is>
          <t>ใช่</t>
        </is>
      </c>
      <c r="S23" s="11" t="inlineStr"/>
    </row>
    <row r="24">
      <c r="A24" s="20" t="n">
        <v>46313.55016213527</v>
      </c>
      <c r="B24" s="11" t="inlineStr">
        <is>
          <t>SOL</t>
        </is>
      </c>
      <c r="C24" s="12" t="n">
        <v>50</v>
      </c>
      <c r="D24" s="14" t="n">
        <v>3468.86</v>
      </c>
      <c r="E24" s="11" t="inlineStr">
        <is>
          <t>ปิดแล้ว</t>
        </is>
      </c>
      <c r="F24" s="20" t="n">
        <v>46314.11569490318</v>
      </c>
      <c r="G24" s="11" t="inlineStr">
        <is>
          <t>signal_cut</t>
        </is>
      </c>
      <c r="H24" s="14" t="n">
        <v>3359.27</v>
      </c>
      <c r="I24" s="12" t="n">
        <v>48.4204</v>
      </c>
      <c r="J24" s="21" t="n">
        <v>-1.5796</v>
      </c>
      <c r="K24" s="15" t="n">
        <v>-0.03159</v>
      </c>
      <c r="L24" s="11" t="inlineStr">
        <is>
          <t>ยังสรุปแนวโน้มไม่ได้</t>
        </is>
      </c>
      <c r="M24" s="11" t="n">
        <v>0.9076</v>
      </c>
      <c r="N24" s="11" t="n">
        <v>-0.029</v>
      </c>
      <c r="O24" s="11" t="n">
        <v>0.031</v>
      </c>
      <c r="P24" s="11" t="n">
        <v>38.1</v>
      </c>
      <c r="Q24" s="11" t="inlineStr"/>
      <c r="R24" s="11" t="inlineStr">
        <is>
          <t>ใช่</t>
        </is>
      </c>
      <c r="S24" s="11" t="inlineStr"/>
    </row>
    <row r="25">
      <c r="A25" s="20" t="n">
        <v>46313.7165638958</v>
      </c>
      <c r="B25" s="11" t="inlineStr">
        <is>
          <t>NEAR</t>
        </is>
      </c>
      <c r="C25" s="12" t="n">
        <v>50</v>
      </c>
      <c r="D25" s="14" t="n">
        <v>166.95</v>
      </c>
      <c r="E25" s="11" t="inlineStr">
        <is>
          <t>ปิดแล้ว</t>
        </is>
      </c>
      <c r="F25" s="20" t="n">
        <v>46313.87968288823</v>
      </c>
      <c r="G25" s="11" t="inlineStr">
        <is>
          <t>stop_loss</t>
        </is>
      </c>
      <c r="H25" s="14" t="n">
        <v>158.41</v>
      </c>
      <c r="I25" s="12" t="n">
        <v>47.4423</v>
      </c>
      <c r="J25" s="21" t="n">
        <v>-2.5577</v>
      </c>
      <c r="K25" s="15" t="n">
        <v>-0.05115</v>
      </c>
      <c r="L25" s="11" t="inlineStr">
        <is>
          <t>ยังสรุปแนวโน้มไม่ได้</t>
        </is>
      </c>
      <c r="M25" s="11" t="n">
        <v>2.0138</v>
      </c>
      <c r="N25" s="11" t="n">
        <v>-0.006</v>
      </c>
      <c r="O25" s="11" t="n">
        <v>0.503</v>
      </c>
      <c r="P25" s="11" t="n">
        <v>50.6</v>
      </c>
      <c r="Q25" s="11" t="inlineStr"/>
      <c r="R25" s="11" t="inlineStr">
        <is>
          <t>ใช่</t>
        </is>
      </c>
      <c r="S25" s="11" t="inlineStr"/>
    </row>
    <row r="26">
      <c r="A26" s="20" t="n">
        <v>46313.75817783745</v>
      </c>
      <c r="B26" s="11" t="inlineStr">
        <is>
          <t>WLD</t>
        </is>
      </c>
      <c r="C26" s="12" t="n">
        <v>50</v>
      </c>
      <c r="D26" s="14" t="n">
        <v>16.77</v>
      </c>
      <c r="E26" s="11" t="inlineStr">
        <is>
          <t>ปิดแล้ว</t>
        </is>
      </c>
      <c r="F26" s="20" t="n">
        <v>46313.87972276258</v>
      </c>
      <c r="G26" s="11" t="inlineStr">
        <is>
          <t>stop_loss</t>
        </is>
      </c>
      <c r="H26" s="14" t="n">
        <v>15.9</v>
      </c>
      <c r="I26" s="12" t="n">
        <v>47.4061</v>
      </c>
      <c r="J26" s="21" t="n">
        <v>-2.5939</v>
      </c>
      <c r="K26" s="15" t="n">
        <v>-0.05188</v>
      </c>
      <c r="L26" s="11" t="inlineStr">
        <is>
          <t>ยังสรุปแนวโน้มไม่ได้</t>
        </is>
      </c>
      <c r="M26" s="11" t="n">
        <v>2.9407</v>
      </c>
      <c r="N26" s="11" t="n">
        <v>-0.08</v>
      </c>
      <c r="O26" s="11" t="n">
        <v>0.212</v>
      </c>
      <c r="P26" s="11" t="n">
        <v>66.5</v>
      </c>
      <c r="Q26" s="11" t="inlineStr"/>
      <c r="R26" s="11" t="inlineStr">
        <is>
          <t>ใช่</t>
        </is>
      </c>
      <c r="S26" s="11" t="inlineStr"/>
    </row>
    <row r="27">
      <c r="A27" s="20" t="n">
        <v>46313.88260627123</v>
      </c>
      <c r="B27" s="11" t="inlineStr">
        <is>
          <t>WLD</t>
        </is>
      </c>
      <c r="C27" s="12" t="n">
        <v>50</v>
      </c>
      <c r="D27" s="14" t="n">
        <v>16.02</v>
      </c>
      <c r="E27" s="11" t="inlineStr">
        <is>
          <t>ปิดแล้ว</t>
        </is>
      </c>
      <c r="F27" s="20" t="n">
        <v>46314.10874509473</v>
      </c>
      <c r="G27" s="11" t="inlineStr">
        <is>
          <t>signal_cut</t>
        </is>
      </c>
      <c r="H27" s="14" t="n">
        <v>15.52</v>
      </c>
      <c r="I27" s="12" t="n">
        <v>48.4395</v>
      </c>
      <c r="J27" s="21" t="n">
        <v>-1.5605</v>
      </c>
      <c r="K27" s="15" t="n">
        <v>-0.03121</v>
      </c>
      <c r="L27" s="11" t="inlineStr">
        <is>
          <t>ยังสรุปแนวโน้มไม่ได้</t>
        </is>
      </c>
      <c r="M27" s="11" t="n">
        <v>2.7856</v>
      </c>
      <c r="N27" s="11" t="n">
        <v>-0.268</v>
      </c>
      <c r="O27" s="11" t="n">
        <v>0.293</v>
      </c>
      <c r="P27" s="11" t="n">
        <v>40.1</v>
      </c>
      <c r="Q27" s="11" t="inlineStr"/>
      <c r="R27" s="11" t="inlineStr">
        <is>
          <t>ใช่</t>
        </is>
      </c>
      <c r="S27" s="11" t="inlineStr"/>
    </row>
    <row r="28">
      <c r="A28" s="20" t="n">
        <v>46313.8826445253</v>
      </c>
      <c r="B28" s="11" t="inlineStr">
        <is>
          <t>NEAR</t>
        </is>
      </c>
      <c r="C28" s="12" t="n">
        <v>50</v>
      </c>
      <c r="D28" s="14" t="n">
        <v>159.71</v>
      </c>
      <c r="E28" s="11" t="inlineStr">
        <is>
          <t>ปิดแล้ว</t>
        </is>
      </c>
      <c r="F28" s="20" t="n">
        <v>46314.25931431851</v>
      </c>
      <c r="G28" s="11" t="inlineStr">
        <is>
          <t>take_profit</t>
        </is>
      </c>
      <c r="H28" s="14" t="n">
        <v>165.77</v>
      </c>
      <c r="I28" s="12" t="n">
        <v>51.8972</v>
      </c>
      <c r="J28" s="22" t="n">
        <v>1.8972</v>
      </c>
      <c r="K28" s="15" t="n">
        <v>0.03794</v>
      </c>
      <c r="L28" s="11" t="inlineStr">
        <is>
          <t>ยังสรุปแนวโน้มไม่ได้</t>
        </is>
      </c>
      <c r="M28" s="11" t="n">
        <v>1.8048</v>
      </c>
      <c r="N28" s="11" t="n">
        <v>-0.001</v>
      </c>
      <c r="O28" s="11" t="n">
        <v>0.711</v>
      </c>
      <c r="P28" s="11" t="n">
        <v>22</v>
      </c>
      <c r="Q28" s="11" t="inlineStr"/>
      <c r="R28" s="11" t="inlineStr">
        <is>
          <t>ใช่</t>
        </is>
      </c>
      <c r="S28" s="11" t="inlineStr"/>
    </row>
    <row r="29">
      <c r="A29" s="20" t="n">
        <v>46314.42933898714</v>
      </c>
      <c r="B29" s="11" t="inlineStr">
        <is>
          <t>SOL</t>
        </is>
      </c>
      <c r="C29" s="12" t="n">
        <v>50</v>
      </c>
      <c r="D29" s="14" t="n">
        <v>3526.47</v>
      </c>
      <c r="E29" s="11" t="inlineStr">
        <is>
          <t>ถืออยู่</t>
        </is>
      </c>
      <c r="F29" s="11" t="n"/>
      <c r="G29" s="11" t="n"/>
      <c r="H29" s="14" t="n"/>
      <c r="I29" s="12" t="n"/>
      <c r="J29" s="12" t="n"/>
      <c r="K29" s="15" t="n"/>
      <c r="L29" s="11" t="inlineStr">
        <is>
          <t>ยังสรุปแนวโน้มไม่ได้</t>
        </is>
      </c>
      <c r="M29" s="11" t="n">
        <v>1.0555</v>
      </c>
      <c r="N29" s="11" t="n">
        <v>0.146</v>
      </c>
      <c r="O29" s="11" t="n">
        <v>0.001</v>
      </c>
      <c r="P29" s="11" t="n">
        <v>72.8</v>
      </c>
      <c r="Q29" s="11" t="inlineStr"/>
      <c r="R29" s="11" t="inlineStr">
        <is>
          <t>ใช่</t>
        </is>
      </c>
      <c r="S29" s="11" t="inlineStr"/>
    </row>
    <row r="30">
      <c r="A30" s="20" t="n">
        <v>46314.4293670362</v>
      </c>
      <c r="B30" s="11" t="inlineStr">
        <is>
          <t>XRP</t>
        </is>
      </c>
      <c r="C30" s="12" t="n">
        <v>50</v>
      </c>
      <c r="D30" s="14" t="n">
        <v>43.91</v>
      </c>
      <c r="E30" s="11" t="inlineStr">
        <is>
          <t>ถืออยู่</t>
        </is>
      </c>
      <c r="F30" s="11" t="n"/>
      <c r="G30" s="11" t="n"/>
      <c r="H30" s="14" t="n"/>
      <c r="I30" s="12" t="n"/>
      <c r="J30" s="12" t="n"/>
      <c r="K30" s="15" t="n"/>
      <c r="L30" s="11" t="inlineStr">
        <is>
          <t>ยังสรุปแนวโน้มไม่ได้</t>
        </is>
      </c>
      <c r="M30" s="11" t="n">
        <v>1.0268</v>
      </c>
      <c r="N30" s="11" t="n">
        <v>0.001</v>
      </c>
      <c r="O30" s="11" t="n">
        <v>-0.025</v>
      </c>
      <c r="P30" s="11" t="n">
        <v>28.9</v>
      </c>
      <c r="Q30" s="11" t="inlineStr"/>
      <c r="R30" s="11" t="inlineStr">
        <is>
          <t>ใช่</t>
        </is>
      </c>
      <c r="S30" s="11" t="inlineStr"/>
    </row>
    <row r="31">
      <c r="A31" s="20" t="n">
        <v>46314.47338733752</v>
      </c>
      <c r="B31" s="11" t="inlineStr">
        <is>
          <t>DOGE</t>
        </is>
      </c>
      <c r="C31" s="12" t="n">
        <v>50</v>
      </c>
      <c r="D31" s="14" t="n">
        <v>2.6659</v>
      </c>
      <c r="E31" s="11" t="inlineStr">
        <is>
          <t>ถืออยู่</t>
        </is>
      </c>
      <c r="F31" s="11" t="n"/>
      <c r="G31" s="11" t="n"/>
      <c r="H31" s="14" t="n"/>
      <c r="I31" s="12" t="n"/>
      <c r="J31" s="12" t="n"/>
      <c r="K31" s="15" t="n"/>
      <c r="L31" s="11" t="inlineStr">
        <is>
          <t>ยังสรุปแนวโน้มไม่ได้</t>
        </is>
      </c>
      <c r="M31" s="11" t="n">
        <v>1.2783</v>
      </c>
      <c r="N31" s="11" t="n">
        <v>-0.03</v>
      </c>
      <c r="O31" s="11" t="n">
        <v>-0.012</v>
      </c>
      <c r="P31" s="11" t="n">
        <v>27.4</v>
      </c>
      <c r="Q31" s="11" t="inlineStr"/>
      <c r="R31" s="11" t="inlineStr">
        <is>
          <t>ใช่</t>
        </is>
      </c>
      <c r="S31" s="11" t="inlineStr"/>
    </row>
    <row r="32">
      <c r="A32" s="20" t="n">
        <v>46314.47341906743</v>
      </c>
      <c r="B32" s="11" t="inlineStr">
        <is>
          <t>ETH</t>
        </is>
      </c>
      <c r="C32" s="12" t="n">
        <v>50</v>
      </c>
      <c r="D32" s="14" t="n">
        <v>81119.47</v>
      </c>
      <c r="E32" s="11" t="inlineStr">
        <is>
          <t>ถืออยู่</t>
        </is>
      </c>
      <c r="F32" s="11" t="n"/>
      <c r="G32" s="11" t="n"/>
      <c r="H32" s="14" t="n"/>
      <c r="I32" s="12" t="n"/>
      <c r="J32" s="12" t="n"/>
      <c r="K32" s="15" t="n"/>
      <c r="L32" s="11" t="inlineStr">
        <is>
          <t>ยังสรุปแนวโน้มไม่ได้</t>
        </is>
      </c>
      <c r="M32" s="11" t="n">
        <v>0.9822</v>
      </c>
      <c r="N32" s="11" t="n">
        <v>0.002</v>
      </c>
      <c r="O32" s="11" t="n">
        <v>-0.306</v>
      </c>
      <c r="P32" s="11" t="n">
        <v>27.6</v>
      </c>
      <c r="Q32" s="11" t="inlineStr"/>
      <c r="R32" s="11" t="inlineStr">
        <is>
          <t>ใช่</t>
        </is>
      </c>
      <c r="S32" s="11" t="inlineStr"/>
    </row>
    <row r="33">
      <c r="A33" s="20" t="n">
        <v>46314.47344752374</v>
      </c>
      <c r="B33" s="11" t="inlineStr">
        <is>
          <t>NEAR</t>
        </is>
      </c>
      <c r="C33" s="12" t="n">
        <v>50</v>
      </c>
      <c r="D33" s="14" t="n">
        <v>167.98</v>
      </c>
      <c r="E33" s="11" t="inlineStr">
        <is>
          <t>ปิดแล้ว</t>
        </is>
      </c>
      <c r="F33" s="20" t="n">
        <v>46316.66010617301</v>
      </c>
      <c r="G33" s="11" t="inlineStr">
        <is>
          <t>take_profit</t>
        </is>
      </c>
      <c r="H33" s="14" t="n">
        <v>176.96</v>
      </c>
      <c r="I33" s="12" t="n">
        <v>52.9485</v>
      </c>
      <c r="J33" s="22" t="n">
        <v>2.9485</v>
      </c>
      <c r="K33" s="15" t="n">
        <v>0.05897</v>
      </c>
      <c r="L33" s="11" t="inlineStr">
        <is>
          <t>ยังสรุปแนวโน้มไม่ได้</t>
        </is>
      </c>
      <c r="M33" s="11" t="n">
        <v>2.5649</v>
      </c>
      <c r="N33" s="11" t="n">
        <v>0.031</v>
      </c>
      <c r="O33" s="11" t="n">
        <v>0.074</v>
      </c>
      <c r="P33" s="11" t="n">
        <v>42</v>
      </c>
      <c r="Q33" s="11" t="inlineStr"/>
      <c r="R33" s="11" t="inlineStr">
        <is>
          <t>ใช่</t>
        </is>
      </c>
      <c r="S33" s="11" t="inlineStr"/>
    </row>
    <row r="34">
      <c r="A34" s="20" t="n">
        <v>46314.60901664788</v>
      </c>
      <c r="B34" s="11" t="inlineStr">
        <is>
          <t>WLD</t>
        </is>
      </c>
      <c r="C34" s="12" t="n">
        <v>50</v>
      </c>
      <c r="D34" s="14" t="n">
        <v>16.94</v>
      </c>
      <c r="E34" s="11" t="inlineStr">
        <is>
          <t>ปิดแล้ว</t>
        </is>
      </c>
      <c r="F34" s="20" t="n">
        <v>46315.22000040428</v>
      </c>
      <c r="G34" s="11" t="inlineStr">
        <is>
          <t>take_profit</t>
        </is>
      </c>
      <c r="H34" s="14" t="n">
        <v>17.83</v>
      </c>
      <c r="I34" s="12" t="n">
        <v>52.9026</v>
      </c>
      <c r="J34" s="22" t="n">
        <v>2.9026</v>
      </c>
      <c r="K34" s="15" t="n">
        <v>0.05805</v>
      </c>
      <c r="L34" s="11" t="inlineStr">
        <is>
          <t>Golden Cross (ขาขึ้น)</t>
        </is>
      </c>
      <c r="M34" s="11" t="n">
        <v>2.93</v>
      </c>
      <c r="N34" s="11" t="n">
        <v>0.232</v>
      </c>
      <c r="O34" s="11" t="n">
        <v>0.164</v>
      </c>
      <c r="P34" s="11" t="n">
        <v>52.7</v>
      </c>
      <c r="Q34" s="11" t="inlineStr"/>
      <c r="R34" s="11" t="inlineStr">
        <is>
          <t>ใช่</t>
        </is>
      </c>
      <c r="S34" s="11" t="inlineStr"/>
    </row>
    <row r="35">
      <c r="A35" s="20" t="n">
        <v>46316.81330046154</v>
      </c>
      <c r="B35" s="11" t="inlineStr">
        <is>
          <t>DOGE</t>
        </is>
      </c>
      <c r="C35" s="12" t="n">
        <v>150</v>
      </c>
      <c r="D35" s="14" t="n">
        <v>2.7522</v>
      </c>
      <c r="E35" s="11" t="inlineStr">
        <is>
          <t>ถืออยู่</t>
        </is>
      </c>
      <c r="F35" s="11" t="n"/>
      <c r="G35" s="11" t="n"/>
      <c r="H35" s="14" t="n"/>
      <c r="I35" s="12" t="n"/>
      <c r="J35" s="12" t="n"/>
      <c r="K35" s="15" t="n"/>
      <c r="L35" s="11" t="inlineStr">
        <is>
          <t>Golden Cross (ขาขึ้น)</t>
        </is>
      </c>
      <c r="M35" s="11" t="n">
        <v>1.6031</v>
      </c>
      <c r="N35" s="11" t="n">
        <v>0.03</v>
      </c>
      <c r="O35" s="11" t="n">
        <v>-0.1</v>
      </c>
      <c r="P35" s="11" t="n">
        <v>35.4</v>
      </c>
      <c r="Q35" s="11" t="inlineStr">
        <is>
          <t>ใช่</t>
        </is>
      </c>
      <c r="R35" s="11" t="inlineStr"/>
      <c r="S35" s="11" t="inlineStr"/>
    </row>
    <row r="36">
      <c r="A36" s="20" t="n">
        <v>46316.81333076442</v>
      </c>
      <c r="B36" s="11" t="inlineStr">
        <is>
          <t>XRP</t>
        </is>
      </c>
      <c r="C36" s="12" t="n">
        <v>150</v>
      </c>
      <c r="D36" s="14" t="n">
        <v>45.52</v>
      </c>
      <c r="E36" s="11" t="inlineStr">
        <is>
          <t>ถืออยู่</t>
        </is>
      </c>
      <c r="F36" s="11" t="n"/>
      <c r="G36" s="11" t="n"/>
      <c r="H36" s="14" t="n"/>
      <c r="I36" s="12" t="n"/>
      <c r="J36" s="12" t="n"/>
      <c r="K36" s="15" t="n"/>
      <c r="L36" s="11" t="inlineStr">
        <is>
          <t>Golden Cross (ขาขึ้น)</t>
        </is>
      </c>
      <c r="M36" s="11" t="n">
        <v>1.5937</v>
      </c>
      <c r="N36" s="11" t="n">
        <v>0.152</v>
      </c>
      <c r="O36" s="11" t="n">
        <v>-0.163</v>
      </c>
      <c r="P36" s="11" t="n">
        <v>76</v>
      </c>
      <c r="Q36" s="11" t="inlineStr">
        <is>
          <t>ใช่</t>
        </is>
      </c>
      <c r="R36" s="11" t="inlineStr"/>
      <c r="S36" s="11" t="inlineStr"/>
    </row>
    <row r="37">
      <c r="A37" s="20" t="n">
        <v>46316.8133606832</v>
      </c>
      <c r="B37" s="11" t="inlineStr">
        <is>
          <t>ETH</t>
        </is>
      </c>
      <c r="C37" s="12" t="n">
        <v>25.3</v>
      </c>
      <c r="D37" s="14" t="n">
        <v>82799.94</v>
      </c>
      <c r="E37" s="11" t="inlineStr">
        <is>
          <t>ถืออยู่</t>
        </is>
      </c>
      <c r="F37" s="11" t="n"/>
      <c r="G37" s="11" t="n"/>
      <c r="H37" s="14" t="n"/>
      <c r="I37" s="12" t="n"/>
      <c r="J37" s="12" t="n"/>
      <c r="K37" s="15" t="n"/>
      <c r="L37" s="11" t="inlineStr">
        <is>
          <t>ยังสรุปแนวโน้มไม่ได้</t>
        </is>
      </c>
      <c r="M37" s="11" t="n">
        <v>1.2223</v>
      </c>
      <c r="N37" s="11" t="n">
        <v>0.183</v>
      </c>
      <c r="O37" s="11" t="n">
        <v>-0.256</v>
      </c>
      <c r="P37" s="11" t="n">
        <v>78.7</v>
      </c>
      <c r="Q37" s="11" t="inlineStr"/>
      <c r="R37" s="11" t="inlineStr"/>
      <c r="S37" s="11" t="inlineStr"/>
    </row>
    <row r="38">
      <c r="A38" s="20" t="n">
        <v>46316.81338814955</v>
      </c>
      <c r="B38" s="11" t="inlineStr">
        <is>
          <t>SOL</t>
        </is>
      </c>
      <c r="C38" s="12" t="n">
        <v>150</v>
      </c>
      <c r="D38" s="14" t="n">
        <v>3589.05</v>
      </c>
      <c r="E38" s="11" t="inlineStr">
        <is>
          <t>ถืออยู่</t>
        </is>
      </c>
      <c r="F38" s="11" t="n"/>
      <c r="G38" s="11" t="n"/>
      <c r="H38" s="14" t="n"/>
      <c r="I38" s="12" t="n"/>
      <c r="J38" s="12" t="n"/>
      <c r="K38" s="15" t="n"/>
      <c r="L38" s="11" t="inlineStr">
        <is>
          <t>ยังสรุปแนวโน้มไม่ได้</t>
        </is>
      </c>
      <c r="M38" s="11" t="n">
        <v>1.086</v>
      </c>
      <c r="N38" s="11" t="n">
        <v>0.077</v>
      </c>
      <c r="O38" s="11" t="n">
        <v>0.389</v>
      </c>
      <c r="P38" s="11" t="n">
        <v>67.90000000000001</v>
      </c>
      <c r="Q38" s="11" t="inlineStr"/>
      <c r="R38" s="11" t="inlineStr"/>
      <c r="S38" s="11" t="inlineStr"/>
    </row>
    <row r="39">
      <c r="A39" s="20" t="n">
        <v>46316.81341768878</v>
      </c>
      <c r="B39" s="11" t="inlineStr">
        <is>
          <t>DOGE</t>
        </is>
      </c>
      <c r="C39" s="12" t="n">
        <v>200</v>
      </c>
      <c r="D39" s="14" t="n">
        <v>2.7521</v>
      </c>
      <c r="E39" s="11" t="inlineStr">
        <is>
          <t>ปิดแล้ว</t>
        </is>
      </c>
      <c r="F39" s="20" t="n">
        <v>46316.82052012036</v>
      </c>
      <c r="G39" s="11" t="inlineStr">
        <is>
          <t>rebalance</t>
        </is>
      </c>
      <c r="H39" s="14" t="n">
        <v>2.754</v>
      </c>
      <c r="I39" s="12" t="n">
        <v>201.2009</v>
      </c>
      <c r="J39" s="22" t="n">
        <v>1.2009</v>
      </c>
      <c r="K39" s="15" t="n">
        <v>0.006</v>
      </c>
      <c r="L39" s="11" t="inlineStr">
        <is>
          <t>Golden Cross (ขาขึ้น)</t>
        </is>
      </c>
      <c r="M39" s="11" t="n">
        <v>1.6031</v>
      </c>
      <c r="N39" s="11" t="n">
        <v>0.03</v>
      </c>
      <c r="O39" s="11" t="n">
        <v>-0.1</v>
      </c>
      <c r="P39" s="11" t="n">
        <v>35.4</v>
      </c>
      <c r="Q39" s="11" t="inlineStr">
        <is>
          <t>ใช่</t>
        </is>
      </c>
      <c r="R39" s="11" t="inlineStr"/>
      <c r="S39" s="11" t="inlineStr"/>
    </row>
    <row r="40">
      <c r="A40" s="20" t="n">
        <v>46316.81344587383</v>
      </c>
      <c r="B40" s="11" t="inlineStr">
        <is>
          <t>XRP</t>
        </is>
      </c>
      <c r="C40" s="12" t="n">
        <v>200</v>
      </c>
      <c r="D40" s="14" t="n">
        <v>45.52</v>
      </c>
      <c r="E40" s="11" t="inlineStr">
        <is>
          <t>ปิดแล้ว</t>
        </is>
      </c>
      <c r="F40" s="20" t="n">
        <v>46316.82054784276</v>
      </c>
      <c r="G40" s="11" t="inlineStr">
        <is>
          <t>rebalance</t>
        </is>
      </c>
      <c r="H40" s="14" t="n">
        <v>45.56</v>
      </c>
      <c r="I40" s="12" t="n">
        <v>201.3541</v>
      </c>
      <c r="J40" s="22" t="n">
        <v>1.3541</v>
      </c>
      <c r="K40" s="15" t="n">
        <v>0.006770000000000001</v>
      </c>
      <c r="L40" s="11" t="inlineStr">
        <is>
          <t>Golden Cross (ขาขึ้น)</t>
        </is>
      </c>
      <c r="M40" s="11" t="n">
        <v>1.5937</v>
      </c>
      <c r="N40" s="11" t="n">
        <v>0.152</v>
      </c>
      <c r="O40" s="11" t="n">
        <v>-0.163</v>
      </c>
      <c r="P40" s="11" t="n">
        <v>76</v>
      </c>
      <c r="Q40" s="11" t="inlineStr">
        <is>
          <t>ใช่</t>
        </is>
      </c>
      <c r="R40" s="11" t="inlineStr"/>
      <c r="S40" s="11" t="inlineStr"/>
    </row>
    <row r="41">
      <c r="A41" s="20" t="n">
        <v>46316.81347345928</v>
      </c>
      <c r="B41" s="11" t="inlineStr">
        <is>
          <t>BTC</t>
        </is>
      </c>
      <c r="C41" s="12" t="n">
        <v>42.73</v>
      </c>
      <c r="D41" s="14" t="n">
        <v>2803722.33</v>
      </c>
      <c r="E41" s="11" t="inlineStr">
        <is>
          <t>ถืออยู่</t>
        </is>
      </c>
      <c r="F41" s="11" t="n"/>
      <c r="G41" s="11" t="n"/>
      <c r="H41" s="14" t="n"/>
      <c r="I41" s="12" t="n"/>
      <c r="J41" s="12" t="n"/>
      <c r="K41" s="15" t="n"/>
      <c r="L41" s="11" t="inlineStr">
        <is>
          <t>ยังสรุปแนวโน้มไม่ได้</t>
        </is>
      </c>
      <c r="M41" s="11" t="n">
        <v>0.8139</v>
      </c>
      <c r="N41" s="11" t="n">
        <v>0.062</v>
      </c>
      <c r="O41" s="11" t="n">
        <v>-0.415</v>
      </c>
      <c r="P41" s="11" t="n">
        <v>74.7</v>
      </c>
      <c r="Q41" s="11" t="inlineStr"/>
      <c r="R41" s="11" t="inlineStr"/>
      <c r="S41" s="11" t="inlineStr"/>
    </row>
    <row r="42">
      <c r="A42" s="20" t="n">
        <v>46316.82058532356</v>
      </c>
      <c r="B42" s="11" t="inlineStr">
        <is>
          <t>CRV</t>
        </is>
      </c>
      <c r="C42" s="12" t="n">
        <v>200</v>
      </c>
      <c r="D42" s="14" t="n">
        <v>13.08</v>
      </c>
      <c r="E42" s="11" t="inlineStr">
        <is>
          <t>ปิดแล้ว</t>
        </is>
      </c>
      <c r="F42" s="20" t="n">
        <v>46319.88699682095</v>
      </c>
      <c r="G42" s="11" t="inlineStr">
        <is>
          <t>signal_cut</t>
        </is>
      </c>
      <c r="H42" s="14" t="n">
        <v>11.76</v>
      </c>
      <c r="I42" s="12" t="n">
        <v>180.0728</v>
      </c>
      <c r="J42" s="21" t="n">
        <v>-19.9272</v>
      </c>
      <c r="K42" s="15" t="n">
        <v>-0.09964000000000001</v>
      </c>
      <c r="L42" s="11" t="inlineStr">
        <is>
          <t>Golden Cross (ขาขึ้น)</t>
        </is>
      </c>
      <c r="M42" s="11" t="n">
        <v>2.8129</v>
      </c>
      <c r="N42" s="11" t="n">
        <v>0.09</v>
      </c>
      <c r="O42" s="11" t="n">
        <v>0.361</v>
      </c>
      <c r="P42" s="11" t="n">
        <v>24.5</v>
      </c>
      <c r="Q42" s="11" t="inlineStr">
        <is>
          <t>ใช่</t>
        </is>
      </c>
      <c r="R42" s="11" t="inlineStr">
        <is>
          <t>ใช่</t>
        </is>
      </c>
      <c r="S42" s="11" t="inlineStr"/>
    </row>
    <row r="43">
      <c r="A43" s="20" t="n">
        <v>46316.82061942297</v>
      </c>
      <c r="B43" s="11" t="inlineStr">
        <is>
          <t>IOST</t>
        </is>
      </c>
      <c r="C43" s="12" t="n">
        <v>200</v>
      </c>
      <c r="D43" s="14" t="n">
        <v>0.04978</v>
      </c>
      <c r="E43" s="11" t="inlineStr">
        <is>
          <t>ปิดแล้ว</t>
        </is>
      </c>
      <c r="F43" s="20" t="n">
        <v>46316.85396093765</v>
      </c>
      <c r="G43" s="11" t="inlineStr">
        <is>
          <t>take_profit</t>
        </is>
      </c>
      <c r="H43" s="14" t="n">
        <v>0.05422</v>
      </c>
      <c r="I43" s="12" t="n">
        <v>217.8385</v>
      </c>
      <c r="J43" s="22" t="n">
        <v>17.8385</v>
      </c>
      <c r="K43" s="15" t="n">
        <v>0.08919000000000001</v>
      </c>
      <c r="L43" s="11" t="inlineStr">
        <is>
          <t>Golden Cross (ขาขึ้น)</t>
        </is>
      </c>
      <c r="M43" s="11" t="n">
        <v>24.8138</v>
      </c>
      <c r="N43" s="11" t="n">
        <v>-2.575</v>
      </c>
      <c r="O43" s="11" t="n"/>
      <c r="P43" s="11" t="n">
        <v>38.1</v>
      </c>
      <c r="Q43" s="11" t="inlineStr">
        <is>
          <t>ใช่</t>
        </is>
      </c>
      <c r="R43" s="11" t="inlineStr"/>
      <c r="S43" s="11" t="inlineStr"/>
    </row>
    <row r="44">
      <c r="A44" s="20" t="n">
        <v>46316.85399469535</v>
      </c>
      <c r="B44" s="11" t="inlineStr">
        <is>
          <t>OP</t>
        </is>
      </c>
      <c r="C44" s="12" t="n">
        <v>200</v>
      </c>
      <c r="D44" s="14" t="n">
        <v>4.366</v>
      </c>
      <c r="E44" s="11" t="inlineStr">
        <is>
          <t>ปิดแล้ว</t>
        </is>
      </c>
      <c r="F44" s="20" t="n">
        <v>46319.11906599645</v>
      </c>
      <c r="G44" s="11" t="inlineStr">
        <is>
          <t>signal_cut</t>
        </is>
      </c>
      <c r="H44" s="14" t="n">
        <v>3.917</v>
      </c>
      <c r="I44" s="12" t="n">
        <v>179.432</v>
      </c>
      <c r="J44" s="21" t="n">
        <v>-20.568</v>
      </c>
      <c r="K44" s="15" t="n">
        <v>-0.10284</v>
      </c>
      <c r="L44" s="11" t="inlineStr">
        <is>
          <t>ยังสรุปแนวโน้มไม่ได้</t>
        </is>
      </c>
      <c r="M44" s="11" t="n">
        <v>2.6116</v>
      </c>
      <c r="N44" s="11" t="n">
        <v>0.493</v>
      </c>
      <c r="O44" s="11" t="n">
        <v>0.762</v>
      </c>
      <c r="P44" s="11" t="n">
        <v>70.3</v>
      </c>
      <c r="Q44" s="11" t="inlineStr"/>
      <c r="R44" s="11" t="inlineStr"/>
      <c r="S44" s="11" t="inlineStr"/>
    </row>
    <row r="45">
      <c r="A45" s="20" t="n">
        <v>46316.85409964448</v>
      </c>
      <c r="B45" s="11" t="inlineStr">
        <is>
          <t>XRP</t>
        </is>
      </c>
      <c r="C45" s="12" t="n">
        <v>20.38</v>
      </c>
      <c r="D45" s="14" t="n">
        <v>45.77</v>
      </c>
      <c r="E45" s="11" t="inlineStr">
        <is>
          <t>ถืออยู่</t>
        </is>
      </c>
      <c r="F45" s="11" t="n"/>
      <c r="G45" s="11" t="n"/>
      <c r="H45" s="14" t="n"/>
      <c r="I45" s="12" t="n"/>
      <c r="J45" s="12" t="n"/>
      <c r="K45" s="15" t="n"/>
      <c r="L45" s="11" t="inlineStr">
        <is>
          <t>Golden Cross (ขาขึ้น)</t>
        </is>
      </c>
      <c r="M45" s="11" t="n">
        <v>1.6581</v>
      </c>
      <c r="N45" s="11" t="n">
        <v>0.163</v>
      </c>
      <c r="O45" s="11" t="n">
        <v>-0.182</v>
      </c>
      <c r="P45" s="11" t="n">
        <v>42.3</v>
      </c>
      <c r="Q45" s="11" t="inlineStr">
        <is>
          <t>ใช่</t>
        </is>
      </c>
      <c r="R45" s="11" t="inlineStr"/>
      <c r="S45" s="11" t="inlineStr"/>
    </row>
    <row r="46">
      <c r="A46" s="20" t="n">
        <v>46319.11910432267</v>
      </c>
      <c r="B46" s="11" t="inlineStr">
        <is>
          <t>OP</t>
        </is>
      </c>
      <c r="C46" s="12" t="n">
        <v>179.43</v>
      </c>
      <c r="D46" s="14" t="n">
        <v>3.928</v>
      </c>
      <c r="E46" s="11" t="inlineStr">
        <is>
          <t>ถืออยู่</t>
        </is>
      </c>
      <c r="F46" s="11" t="n"/>
      <c r="G46" s="11" t="n"/>
      <c r="H46" s="14" t="n"/>
      <c r="I46" s="12" t="n"/>
      <c r="J46" s="12" t="n"/>
      <c r="K46" s="15" t="n"/>
      <c r="L46" s="11" t="inlineStr">
        <is>
          <t>Death Cross (ขาลง)</t>
        </is>
      </c>
      <c r="M46" s="11" t="n">
        <v>2.9822</v>
      </c>
      <c r="N46" s="11" t="n">
        <v>0.471</v>
      </c>
      <c r="O46" s="11" t="n">
        <v>0.743</v>
      </c>
      <c r="P46" s="11" t="n">
        <v>50.1</v>
      </c>
      <c r="Q46" s="11" t="inlineStr"/>
      <c r="R46" s="11" t="inlineStr"/>
      <c r="S46" s="11" t="inlineStr"/>
    </row>
    <row r="47">
      <c r="A47" s="20" t="n">
        <v>46319.8870376122</v>
      </c>
      <c r="B47" s="11" t="inlineStr">
        <is>
          <t>WLD</t>
        </is>
      </c>
      <c r="C47" s="12" t="n">
        <v>180.07</v>
      </c>
      <c r="D47" s="14" t="n">
        <v>15.63</v>
      </c>
      <c r="E47" s="11" t="inlineStr">
        <is>
          <t>ถืออยู่</t>
        </is>
      </c>
      <c r="F47" s="11" t="n"/>
      <c r="G47" s="11" t="n"/>
      <c r="H47" s="14" t="n"/>
      <c r="I47" s="12" t="n"/>
      <c r="J47" s="12" t="n"/>
      <c r="K47" s="15" t="n"/>
      <c r="L47" s="11" t="inlineStr">
        <is>
          <t>Death Cross (ขาลง)</t>
        </is>
      </c>
      <c r="M47" s="11" t="n">
        <v>6.3005</v>
      </c>
      <c r="N47" s="11" t="n">
        <v>0.066</v>
      </c>
      <c r="O47" s="11" t="n">
        <v>0.488</v>
      </c>
      <c r="P47" s="11" t="n">
        <v>27.6</v>
      </c>
      <c r="Q47" s="11" t="inlineStr"/>
      <c r="R47" s="11" t="inlineStr"/>
      <c r="S47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6" customWidth="1" min="4" max="4"/>
    <col width="14" customWidth="1" min="5" max="5"/>
    <col width="10" customWidth="1" min="6" max="6"/>
    <col width="10" customWidth="1" min="7" max="7"/>
    <col width="12" customWidth="1" min="8" max="8"/>
    <col width="9" customWidth="1" min="9" max="9"/>
  </cols>
  <sheetData>
    <row r="1">
      <c r="A1" s="1" t="inlineStr">
        <is>
          <t>ทุกครั้งที่ขาย</t>
        </is>
      </c>
    </row>
    <row r="3">
      <c r="A3" s="10" t="inlineStr">
        <is>
          <t>วันที่</t>
        </is>
      </c>
      <c r="B3" s="10" t="inlineStr">
        <is>
          <t>เหรียญ</t>
        </is>
      </c>
      <c r="C3" s="10" t="inlineStr">
        <is>
          <t>เหตุผล</t>
        </is>
      </c>
      <c r="D3" s="10" t="inlineStr">
        <is>
          <t>จำนวนเหรียญ</t>
        </is>
      </c>
      <c r="E3" s="10" t="inlineStr">
        <is>
          <t>ราคาขาย</t>
        </is>
      </c>
      <c r="F3" s="10" t="inlineStr">
        <is>
          <t>ทุน</t>
        </is>
      </c>
      <c r="G3" s="10" t="inlineStr">
        <is>
          <t>ได้คืน</t>
        </is>
      </c>
      <c r="H3" s="10" t="inlineStr">
        <is>
          <t>กำไร/ขาดทุน</t>
        </is>
      </c>
      <c r="I3" s="10" t="inlineStr">
        <is>
          <t>%</t>
        </is>
      </c>
    </row>
    <row r="4">
      <c r="A4" s="11" t="inlineStr">
        <is>
          <t>2026-10-18</t>
        </is>
      </c>
      <c r="B4" s="11" t="inlineStr">
        <is>
          <t>ADA</t>
        </is>
      </c>
      <c r="C4" s="11" t="inlineStr">
        <is>
          <t>ตัดตาม Death Cross</t>
        </is>
      </c>
      <c r="D4" s="13" t="n">
        <v>6.70331143584931</v>
      </c>
      <c r="E4" s="14" t="n">
        <v>7.206</v>
      </c>
      <c r="F4" s="12" t="n">
        <v>50</v>
      </c>
      <c r="G4" s="12" t="n">
        <v>48.06</v>
      </c>
      <c r="H4" s="21" t="n">
        <v>-1.94</v>
      </c>
      <c r="I4" s="15" t="n">
        <v>-0.0388</v>
      </c>
    </row>
    <row r="5">
      <c r="A5" s="11" t="inlineStr">
        <is>
          <t>2026-10-18</t>
        </is>
      </c>
      <c r="B5" s="11" t="inlineStr">
        <is>
          <t>DOGE</t>
        </is>
      </c>
      <c r="C5" s="11" t="inlineStr">
        <is>
          <t>ตัดตาม Death Cross</t>
        </is>
      </c>
      <c r="D5" s="13" t="n">
        <v>37.27590384739864</v>
      </c>
      <c r="E5" s="14" t="n">
        <v>2.6003</v>
      </c>
      <c r="F5" s="12" t="n">
        <v>100</v>
      </c>
      <c r="G5" s="12" t="n">
        <v>96.44</v>
      </c>
      <c r="H5" s="21" t="n">
        <v>-3.56</v>
      </c>
      <c r="I5" s="15" t="n">
        <v>-0.0356</v>
      </c>
    </row>
    <row r="6">
      <c r="A6" s="11" t="inlineStr">
        <is>
          <t>2026-10-18</t>
        </is>
      </c>
      <c r="B6" s="11" t="inlineStr">
        <is>
          <t>SOL</t>
        </is>
      </c>
      <c r="C6" s="11" t="inlineStr">
        <is>
          <t>ตัดตาม Death Cross</t>
        </is>
      </c>
      <c r="D6" s="13" t="n">
        <v>0.02852927008232094</v>
      </c>
      <c r="E6" s="14" t="n">
        <v>3385.52</v>
      </c>
      <c r="F6" s="12" t="n">
        <v>100</v>
      </c>
      <c r="G6" s="12" t="n">
        <v>96.09999999999999</v>
      </c>
      <c r="H6" s="21" t="n">
        <v>-3.9</v>
      </c>
      <c r="I6" s="15" t="n">
        <v>-0.039</v>
      </c>
    </row>
    <row r="7">
      <c r="A7" s="11" t="inlineStr">
        <is>
          <t>2026-10-18</t>
        </is>
      </c>
      <c r="B7" s="11" t="inlineStr">
        <is>
          <t>EPIC</t>
        </is>
      </c>
      <c r="C7" s="11" t="inlineStr">
        <is>
          <t>ขายทำกำไร (TP)</t>
        </is>
      </c>
      <c r="D7" s="13" t="n">
        <v>5.555555555555555</v>
      </c>
      <c r="E7" s="14" t="n">
        <v>9.52</v>
      </c>
      <c r="F7" s="12" t="n">
        <v>50</v>
      </c>
      <c r="G7" s="12" t="n">
        <v>52.62</v>
      </c>
      <c r="H7" s="22" t="n">
        <v>2.62</v>
      </c>
      <c r="I7" s="15" t="n">
        <v>0.0524</v>
      </c>
    </row>
    <row r="8">
      <c r="A8" s="11" t="inlineStr">
        <is>
          <t>2026-10-18</t>
        </is>
      </c>
      <c r="B8" s="11" t="inlineStr">
        <is>
          <t>NEAR</t>
        </is>
      </c>
      <c r="C8" s="11" t="inlineStr">
        <is>
          <t>ขายทำกำไร (TP)</t>
        </is>
      </c>
      <c r="D8" s="13" t="n">
        <v>0.3114876650884625</v>
      </c>
      <c r="E8" s="14" t="n">
        <v>167.06</v>
      </c>
      <c r="F8" s="12" t="n">
        <v>50</v>
      </c>
      <c r="G8" s="12" t="n">
        <v>51.78</v>
      </c>
      <c r="H8" s="22" t="n">
        <v>1.78</v>
      </c>
      <c r="I8" s="15" t="n">
        <v>0.0356</v>
      </c>
    </row>
    <row r="9">
      <c r="A9" s="11" t="inlineStr">
        <is>
          <t>2026-10-18</t>
        </is>
      </c>
      <c r="B9" s="11" t="inlineStr">
        <is>
          <t>WLD</t>
        </is>
      </c>
      <c r="C9" s="11" t="inlineStr">
        <is>
          <t>ขายทำกำไร (TP)</t>
        </is>
      </c>
      <c r="D9" s="13" t="n">
        <v>3.092145949288806</v>
      </c>
      <c r="E9" s="14" t="n">
        <v>16.87</v>
      </c>
      <c r="F9" s="12" t="n">
        <v>50</v>
      </c>
      <c r="G9" s="12" t="n">
        <v>51.9</v>
      </c>
      <c r="H9" s="22" t="n">
        <v>1.9</v>
      </c>
      <c r="I9" s="15" t="n">
        <v>0.038</v>
      </c>
    </row>
    <row r="10">
      <c r="A10" s="11" t="inlineStr">
        <is>
          <t>2026-10-18</t>
        </is>
      </c>
      <c r="B10" s="11" t="inlineStr">
        <is>
          <t>NEAR</t>
        </is>
      </c>
      <c r="C10" s="11" t="inlineStr">
        <is>
          <t>ตัดขาดทุน (SL)</t>
        </is>
      </c>
      <c r="D10" s="13" t="n">
        <v>0.2994908655286014</v>
      </c>
      <c r="E10" s="14" t="n">
        <v>158.41</v>
      </c>
      <c r="F10" s="12" t="n">
        <v>50</v>
      </c>
      <c r="G10" s="12" t="n">
        <v>47.44</v>
      </c>
      <c r="H10" s="21" t="n">
        <v>-2.56</v>
      </c>
      <c r="I10" s="15" t="n">
        <v>-0.0512</v>
      </c>
    </row>
    <row r="11">
      <c r="A11" s="11" t="inlineStr">
        <is>
          <t>2026-10-18</t>
        </is>
      </c>
      <c r="B11" s="11" t="inlineStr">
        <is>
          <t>WLD</t>
        </is>
      </c>
      <c r="C11" s="11" t="inlineStr">
        <is>
          <t>ตัดขาดทุน (SL)</t>
        </is>
      </c>
      <c r="D11" s="13" t="n">
        <v>2.981514609421586</v>
      </c>
      <c r="E11" s="14" t="n">
        <v>15.9</v>
      </c>
      <c r="F11" s="12" t="n">
        <v>50</v>
      </c>
      <c r="G11" s="12" t="n">
        <v>47.41</v>
      </c>
      <c r="H11" s="21" t="n">
        <v>-2.59</v>
      </c>
      <c r="I11" s="15" t="n">
        <v>-0.0518</v>
      </c>
    </row>
    <row r="12">
      <c r="A12" s="11" t="inlineStr">
        <is>
          <t>2026-10-19</t>
        </is>
      </c>
      <c r="B12" s="11" t="inlineStr">
        <is>
          <t>XLM</t>
        </is>
      </c>
      <c r="C12" s="11" t="inlineStr">
        <is>
          <t>ตัดตาม Death Cross</t>
        </is>
      </c>
      <c r="D12" s="13" t="n">
        <v>16.68892599519697</v>
      </c>
      <c r="E12" s="14" t="n">
        <v>5.817</v>
      </c>
      <c r="F12" s="12" t="n">
        <v>100</v>
      </c>
      <c r="G12" s="12" t="n">
        <v>96.59</v>
      </c>
      <c r="H12" s="21" t="n">
        <v>-3.41</v>
      </c>
      <c r="I12" s="15" t="n">
        <v>-0.0341</v>
      </c>
    </row>
    <row r="13">
      <c r="A13" s="11" t="inlineStr">
        <is>
          <t>2026-10-19</t>
        </is>
      </c>
      <c r="B13" s="11" t="inlineStr">
        <is>
          <t>ETH</t>
        </is>
      </c>
      <c r="C13" s="11" t="inlineStr">
        <is>
          <t>ตัดตาม Death Cross</t>
        </is>
      </c>
      <c r="D13" s="13" t="n">
        <v>0.001228504744135753</v>
      </c>
      <c r="E13" s="14" t="n">
        <v>78854.84</v>
      </c>
      <c r="F13" s="12" t="n">
        <v>100</v>
      </c>
      <c r="G13" s="12" t="n">
        <v>96.87</v>
      </c>
      <c r="H13" s="21" t="n">
        <v>-3.13</v>
      </c>
      <c r="I13" s="15" t="n">
        <v>-0.0313</v>
      </c>
    </row>
    <row r="14">
      <c r="A14" s="11" t="inlineStr">
        <is>
          <t>2026-10-19</t>
        </is>
      </c>
      <c r="B14" s="11" t="inlineStr">
        <is>
          <t>CRV</t>
        </is>
      </c>
      <c r="C14" s="11" t="inlineStr">
        <is>
          <t>ตัดตาม Death Cross</t>
        </is>
      </c>
      <c r="D14" s="13" t="n">
        <v>4.359197907585004</v>
      </c>
      <c r="E14" s="14" t="n">
        <v>11.11</v>
      </c>
      <c r="F14" s="12" t="n">
        <v>50</v>
      </c>
      <c r="G14" s="12" t="n">
        <v>48.19</v>
      </c>
      <c r="H14" s="21" t="n">
        <v>-1.81</v>
      </c>
      <c r="I14" s="15" t="n">
        <v>-0.0362</v>
      </c>
    </row>
    <row r="15">
      <c r="A15" s="11" t="inlineStr">
        <is>
          <t>2026-10-19</t>
        </is>
      </c>
      <c r="B15" s="11" t="inlineStr">
        <is>
          <t>XRP</t>
        </is>
      </c>
      <c r="C15" s="11" t="inlineStr">
        <is>
          <t>ตัดตาม Death Cross</t>
        </is>
      </c>
      <c r="D15" s="13" t="n">
        <v>2.290951225517197</v>
      </c>
      <c r="E15" s="14" t="n">
        <v>42.21</v>
      </c>
      <c r="F15" s="12" t="n">
        <v>100</v>
      </c>
      <c r="G15" s="12" t="n">
        <v>96.22</v>
      </c>
      <c r="H15" s="21" t="n">
        <v>-3.78</v>
      </c>
      <c r="I15" s="15" t="n">
        <v>-0.0378</v>
      </c>
    </row>
    <row r="16">
      <c r="A16" s="11" t="inlineStr">
        <is>
          <t>2026-10-19</t>
        </is>
      </c>
      <c r="B16" s="11" t="inlineStr">
        <is>
          <t>DOGE</t>
        </is>
      </c>
      <c r="C16" s="11" t="inlineStr">
        <is>
          <t>ตัดตาม Death Cross</t>
        </is>
      </c>
      <c r="D16" s="13" t="n">
        <v>18.82671887943369</v>
      </c>
      <c r="E16" s="14" t="n">
        <v>2.5642</v>
      </c>
      <c r="F16" s="12" t="n">
        <v>50</v>
      </c>
      <c r="G16" s="12" t="n">
        <v>48.28</v>
      </c>
      <c r="H16" s="21" t="n">
        <v>-1.72</v>
      </c>
      <c r="I16" s="15" t="n">
        <v>-0.0344</v>
      </c>
    </row>
    <row r="17">
      <c r="A17" s="11" t="inlineStr">
        <is>
          <t>2026-10-19</t>
        </is>
      </c>
      <c r="B17" s="11" t="inlineStr">
        <is>
          <t>WLD</t>
        </is>
      </c>
      <c r="C17" s="11" t="inlineStr">
        <is>
          <t>ตัดตาม Death Cross</t>
        </is>
      </c>
      <c r="D17" s="13" t="n">
        <v>3.121098626716604</v>
      </c>
      <c r="E17" s="14" t="n">
        <v>15.52</v>
      </c>
      <c r="F17" s="12" t="n">
        <v>50</v>
      </c>
      <c r="G17" s="12" t="n">
        <v>48.44</v>
      </c>
      <c r="H17" s="21" t="n">
        <v>-1.56</v>
      </c>
      <c r="I17" s="15" t="n">
        <v>-0.0312</v>
      </c>
    </row>
    <row r="18">
      <c r="A18" s="11" t="inlineStr">
        <is>
          <t>2026-10-19</t>
        </is>
      </c>
      <c r="B18" s="11" t="inlineStr">
        <is>
          <t>SOL</t>
        </is>
      </c>
      <c r="C18" s="11" t="inlineStr">
        <is>
          <t>ตัดตาม Death Cross</t>
        </is>
      </c>
      <c r="D18" s="13" t="n">
        <v>0.01441395732315516</v>
      </c>
      <c r="E18" s="14" t="n">
        <v>3359.27</v>
      </c>
      <c r="F18" s="12" t="n">
        <v>50</v>
      </c>
      <c r="G18" s="12" t="n">
        <v>48.42</v>
      </c>
      <c r="H18" s="21" t="n">
        <v>-1.58</v>
      </c>
      <c r="I18" s="15" t="n">
        <v>-0.0316</v>
      </c>
    </row>
    <row r="19">
      <c r="A19" s="11" t="inlineStr">
        <is>
          <t>2026-10-19</t>
        </is>
      </c>
      <c r="B19" s="11" t="inlineStr">
        <is>
          <t>NEAR</t>
        </is>
      </c>
      <c r="C19" s="11" t="inlineStr">
        <is>
          <t>ขายทำกำไร (TP)</t>
        </is>
      </c>
      <c r="D19" s="13" t="n">
        <v>0.3130674347254399</v>
      </c>
      <c r="E19" s="14" t="n">
        <v>165.77</v>
      </c>
      <c r="F19" s="12" t="n">
        <v>50</v>
      </c>
      <c r="G19" s="12" t="n">
        <v>51.9</v>
      </c>
      <c r="H19" s="22" t="n">
        <v>1.9</v>
      </c>
      <c r="I19" s="15" t="n">
        <v>0.038</v>
      </c>
    </row>
    <row r="20">
      <c r="A20" s="11" t="inlineStr">
        <is>
          <t>2026-10-20</t>
        </is>
      </c>
      <c r="B20" s="11" t="inlineStr">
        <is>
          <t>WLD</t>
        </is>
      </c>
      <c r="C20" s="11" t="inlineStr">
        <is>
          <t>ขายทำกำไร (TP)</t>
        </is>
      </c>
      <c r="D20" s="13" t="n">
        <v>2.95159386068477</v>
      </c>
      <c r="E20" s="14" t="n">
        <v>17.83</v>
      </c>
      <c r="F20" s="12" t="n">
        <v>50</v>
      </c>
      <c r="G20" s="12" t="n">
        <v>52.9</v>
      </c>
      <c r="H20" s="22" t="n">
        <v>2.9</v>
      </c>
      <c r="I20" s="15" t="n">
        <v>0.058</v>
      </c>
    </row>
    <row r="21">
      <c r="A21" s="11" t="inlineStr">
        <is>
          <t>2026-10-21</t>
        </is>
      </c>
      <c r="B21" s="11" t="inlineStr">
        <is>
          <t>NEAR</t>
        </is>
      </c>
      <c r="C21" s="11" t="inlineStr">
        <is>
          <t>ขายทำกำไร (TP)</t>
        </is>
      </c>
      <c r="D21" s="13" t="n">
        <v>0.2976544826765091</v>
      </c>
      <c r="E21" s="14" t="n">
        <v>176.96</v>
      </c>
      <c r="F21" s="12" t="n">
        <v>50</v>
      </c>
      <c r="G21" s="12" t="n">
        <v>52.95</v>
      </c>
      <c r="H21" s="22" t="n">
        <v>2.95</v>
      </c>
      <c r="I21" s="15" t="n">
        <v>0.059</v>
      </c>
    </row>
    <row r="22">
      <c r="A22" s="11" t="inlineStr">
        <is>
          <t>2026-10-21</t>
        </is>
      </c>
      <c r="B22" s="11" t="inlineStr">
        <is>
          <t>DOGE</t>
        </is>
      </c>
      <c r="C22" s="11" t="inlineStr">
        <is>
          <t>ปรับสัดส่วน</t>
        </is>
      </c>
      <c r="D22" s="13" t="n">
        <v>73.05770132000001</v>
      </c>
      <c r="E22" s="14" t="n">
        <v>2.754</v>
      </c>
      <c r="F22" s="12" t="n">
        <v>200</v>
      </c>
      <c r="G22" s="12" t="n">
        <v>201.2</v>
      </c>
      <c r="H22" s="22" t="n">
        <v>1.2</v>
      </c>
      <c r="I22" s="15" t="n">
        <v>0.006</v>
      </c>
    </row>
    <row r="23">
      <c r="A23" s="11" t="inlineStr">
        <is>
          <t>2026-10-21</t>
        </is>
      </c>
      <c r="B23" s="11" t="inlineStr">
        <is>
          <t>XRP</t>
        </is>
      </c>
      <c r="C23" s="11" t="inlineStr">
        <is>
          <t>ปรับสัดส่วน</t>
        </is>
      </c>
      <c r="D23" s="13" t="n">
        <v>4.41953773</v>
      </c>
      <c r="E23" s="14" t="n">
        <v>45.56</v>
      </c>
      <c r="F23" s="12" t="n">
        <v>200</v>
      </c>
      <c r="G23" s="12" t="n">
        <v>201.35</v>
      </c>
      <c r="H23" s="22" t="n">
        <v>1.35</v>
      </c>
      <c r="I23" s="15" t="n">
        <v>0.006750000000000001</v>
      </c>
    </row>
    <row r="24">
      <c r="A24" s="11" t="inlineStr">
        <is>
          <t>2026-10-21</t>
        </is>
      </c>
      <c r="B24" s="11" t="inlineStr">
        <is>
          <t>IOST</t>
        </is>
      </c>
      <c r="C24" s="11" t="inlineStr">
        <is>
          <t>ขายทำกำไร (TP)</t>
        </is>
      </c>
      <c r="D24" s="13" t="n">
        <v>4017.67778224</v>
      </c>
      <c r="E24" s="14" t="n">
        <v>0.05422</v>
      </c>
      <c r="F24" s="12" t="n">
        <v>200</v>
      </c>
      <c r="G24" s="12" t="n">
        <v>217.84</v>
      </c>
      <c r="H24" s="22" t="n">
        <v>17.84</v>
      </c>
      <c r="I24" s="15" t="n">
        <v>0.0892</v>
      </c>
    </row>
    <row r="25">
      <c r="A25" s="11" t="inlineStr">
        <is>
          <t>2026-10-24</t>
        </is>
      </c>
      <c r="B25" s="11" t="inlineStr">
        <is>
          <t>OP</t>
        </is>
      </c>
      <c r="C25" s="11" t="inlineStr">
        <is>
          <t>ตัดตาม Death Cross</t>
        </is>
      </c>
      <c r="D25" s="13" t="n">
        <v>45.80852038</v>
      </c>
      <c r="E25" s="14" t="n">
        <v>3.917</v>
      </c>
      <c r="F25" s="12" t="n">
        <v>200</v>
      </c>
      <c r="G25" s="12" t="n">
        <v>179.43</v>
      </c>
      <c r="H25" s="21" t="n">
        <v>-20.57</v>
      </c>
      <c r="I25" s="15" t="n">
        <v>-0.10285</v>
      </c>
    </row>
    <row r="26">
      <c r="A26" s="11" t="inlineStr">
        <is>
          <t>2026-10-24</t>
        </is>
      </c>
      <c r="B26" s="11" t="inlineStr">
        <is>
          <t>CRV</t>
        </is>
      </c>
      <c r="C26" s="11" t="inlineStr">
        <is>
          <t>ตัดตาม Death Cross</t>
        </is>
      </c>
      <c r="D26" s="13" t="n">
        <v>15.31231585</v>
      </c>
      <c r="E26" s="14" t="n">
        <v>11.76</v>
      </c>
      <c r="F26" s="12" t="n">
        <v>200</v>
      </c>
      <c r="G26" s="12" t="n">
        <v>180.07</v>
      </c>
      <c r="H26" s="21" t="n">
        <v>-19.93</v>
      </c>
      <c r="I26" s="15" t="n">
        <v>-0.09965</v>
      </c>
    </row>
    <row r="27">
      <c r="A27" s="17" t="inlineStr">
        <is>
          <t>รวม</t>
        </is>
      </c>
      <c r="F27" s="18">
        <f>SUM(F4:F26)</f>
        <v/>
      </c>
      <c r="G27" s="18">
        <f>SUM(G4:G26)</f>
        <v/>
      </c>
      <c r="H27" s="18">
        <f>SUM(H4:H26)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4" customWidth="1" min="4" max="4"/>
    <col width="16" customWidth="1" min="5" max="5"/>
    <col width="4" customWidth="1" min="6" max="6"/>
    <col width="20" customWidth="1" min="7" max="7"/>
    <col width="12" customWidth="1" min="8" max="8"/>
    <col width="14" customWidth="1" min="9" max="9"/>
  </cols>
  <sheetData>
    <row r="1">
      <c r="A1" s="1" t="inlineStr">
        <is>
          <t>กำไร/ขาดทุนที่ขายแล้ว แยกตามเหรียญ / เหตุผล / วัน</t>
        </is>
      </c>
    </row>
    <row r="3">
      <c r="A3" s="10" t="inlineStr">
        <is>
          <t>เหรียญ</t>
        </is>
      </c>
      <c r="B3" s="10" t="inlineStr">
        <is>
          <t>ขายกี่ครั้ง</t>
        </is>
      </c>
      <c r="C3" s="10" t="inlineStr">
        <is>
          <t>ชนะ</t>
        </is>
      </c>
      <c r="D3" s="10" t="inlineStr">
        <is>
          <t>ทุนรวมที่ขาย</t>
        </is>
      </c>
      <c r="E3" s="10" t="inlineStr">
        <is>
          <t>กำไร/ขาดทุนรวม</t>
        </is>
      </c>
      <c r="G3" s="23" t="inlineStr">
        <is>
          <t>เหตุผลขาย</t>
        </is>
      </c>
      <c r="H3" s="23" t="inlineStr">
        <is>
          <t>ครั้ง</t>
        </is>
      </c>
      <c r="I3" s="23" t="inlineStr">
        <is>
          <t>กำไร/ขาดทุนรวม</t>
        </is>
      </c>
    </row>
    <row r="4">
      <c r="A4" s="11" t="inlineStr">
        <is>
          <t>IOST</t>
        </is>
      </c>
      <c r="B4" s="11" t="n">
        <v>1</v>
      </c>
      <c r="C4" s="11" t="n">
        <v>1</v>
      </c>
      <c r="D4" s="12" t="n">
        <v>200</v>
      </c>
      <c r="E4" s="12" t="n">
        <v>17.84</v>
      </c>
      <c r="G4" s="4" t="inlineStr">
        <is>
          <t>ตัดตาม Death Cross</t>
        </is>
      </c>
      <c r="H4" s="4" t="n">
        <v>12</v>
      </c>
      <c r="I4" s="18" t="n">
        <v>-66.89</v>
      </c>
    </row>
    <row r="5">
      <c r="A5" s="11" t="inlineStr">
        <is>
          <t>NEAR</t>
        </is>
      </c>
      <c r="B5" s="11" t="n">
        <v>4</v>
      </c>
      <c r="C5" s="11" t="n">
        <v>3</v>
      </c>
      <c r="D5" s="12" t="n">
        <v>200</v>
      </c>
      <c r="E5" s="12" t="n">
        <v>4.07</v>
      </c>
      <c r="G5" s="4" t="inlineStr">
        <is>
          <t>ขายทำกำไร (TP)</t>
        </is>
      </c>
      <c r="H5" s="4" t="n">
        <v>7</v>
      </c>
      <c r="I5" s="18" t="n">
        <v>31.89</v>
      </c>
    </row>
    <row r="6">
      <c r="A6" s="11" t="inlineStr">
        <is>
          <t>EPIC</t>
        </is>
      </c>
      <c r="B6" s="11" t="n">
        <v>1</v>
      </c>
      <c r="C6" s="11" t="n">
        <v>1</v>
      </c>
      <c r="D6" s="12" t="n">
        <v>50</v>
      </c>
      <c r="E6" s="12" t="n">
        <v>2.62</v>
      </c>
      <c r="G6" s="4" t="inlineStr">
        <is>
          <t>ตัดขาดทุน (SL)</t>
        </is>
      </c>
      <c r="H6" s="4" t="n">
        <v>2</v>
      </c>
      <c r="I6" s="18" t="n">
        <v>-5.15</v>
      </c>
    </row>
    <row r="7">
      <c r="A7" s="11" t="inlineStr">
        <is>
          <t>WLD</t>
        </is>
      </c>
      <c r="B7" s="11" t="n">
        <v>4</v>
      </c>
      <c r="C7" s="11" t="n">
        <v>2</v>
      </c>
      <c r="D7" s="12" t="n">
        <v>200</v>
      </c>
      <c r="E7" s="12" t="n">
        <v>0.65</v>
      </c>
      <c r="G7" s="4" t="inlineStr">
        <is>
          <t>ปรับสัดส่วน</t>
        </is>
      </c>
      <c r="H7" s="4" t="n">
        <v>2</v>
      </c>
      <c r="I7" s="18" t="n">
        <v>2.55</v>
      </c>
    </row>
    <row r="8">
      <c r="A8" s="11" t="inlineStr">
        <is>
          <t>ADA</t>
        </is>
      </c>
      <c r="B8" s="11" t="n">
        <v>1</v>
      </c>
      <c r="C8" s="11" t="n">
        <v>0</v>
      </c>
      <c r="D8" s="12" t="n">
        <v>50</v>
      </c>
      <c r="E8" s="12" t="n">
        <v>-1.94</v>
      </c>
    </row>
    <row r="9">
      <c r="A9" s="11" t="inlineStr">
        <is>
          <t>XRP</t>
        </is>
      </c>
      <c r="B9" s="11" t="n">
        <v>2</v>
      </c>
      <c r="C9" s="11" t="n">
        <v>1</v>
      </c>
      <c r="D9" s="12" t="n">
        <v>300</v>
      </c>
      <c r="E9" s="12" t="n">
        <v>-2.43</v>
      </c>
    </row>
    <row r="10">
      <c r="A10" s="11" t="inlineStr">
        <is>
          <t>ETH</t>
        </is>
      </c>
      <c r="B10" s="11" t="n">
        <v>1</v>
      </c>
      <c r="C10" s="11" t="n">
        <v>0</v>
      </c>
      <c r="D10" s="12" t="n">
        <v>100</v>
      </c>
      <c r="E10" s="12" t="n">
        <v>-3.13</v>
      </c>
      <c r="G10" s="23" t="inlineStr">
        <is>
          <t>วันที่</t>
        </is>
      </c>
      <c r="H10" s="23" t="inlineStr">
        <is>
          <t>กำไร/ขาดทุนของวัน</t>
        </is>
      </c>
      <c r="I10" s="23" t="inlineStr">
        <is>
          <t>สะสม</t>
        </is>
      </c>
    </row>
    <row r="11">
      <c r="A11" s="11" t="inlineStr">
        <is>
          <t>XLM</t>
        </is>
      </c>
      <c r="B11" s="11" t="n">
        <v>1</v>
      </c>
      <c r="C11" s="11" t="n">
        <v>0</v>
      </c>
      <c r="D11" s="12" t="n">
        <v>100</v>
      </c>
      <c r="E11" s="12" t="n">
        <v>-3.41</v>
      </c>
      <c r="G11" s="4" t="inlineStr">
        <is>
          <t>2026-10-18</t>
        </is>
      </c>
      <c r="H11" s="18" t="n">
        <v>-8.25</v>
      </c>
      <c r="I11" s="18">
        <f>SUM(H$11:H11)</f>
        <v/>
      </c>
    </row>
    <row r="12">
      <c r="A12" s="11" t="inlineStr">
        <is>
          <t>DOGE</t>
        </is>
      </c>
      <c r="B12" s="11" t="n">
        <v>3</v>
      </c>
      <c r="C12" s="11" t="n">
        <v>1</v>
      </c>
      <c r="D12" s="12" t="n">
        <v>350</v>
      </c>
      <c r="E12" s="12" t="n">
        <v>-4.08</v>
      </c>
      <c r="G12" s="4" t="inlineStr">
        <is>
          <t>2026-10-19</t>
        </is>
      </c>
      <c r="H12" s="18" t="n">
        <v>-15.09</v>
      </c>
      <c r="I12" s="18">
        <f>SUM(H$11:H12)</f>
        <v/>
      </c>
    </row>
    <row r="13">
      <c r="A13" s="11" t="inlineStr">
        <is>
          <t>SOL</t>
        </is>
      </c>
      <c r="B13" s="11" t="n">
        <v>2</v>
      </c>
      <c r="C13" s="11" t="n">
        <v>0</v>
      </c>
      <c r="D13" s="12" t="n">
        <v>150</v>
      </c>
      <c r="E13" s="12" t="n">
        <v>-5.48</v>
      </c>
      <c r="G13" s="4" t="inlineStr">
        <is>
          <t>2026-10-20</t>
        </is>
      </c>
      <c r="H13" s="18" t="n">
        <v>2.9</v>
      </c>
      <c r="I13" s="18">
        <f>SUM(H$11:H13)</f>
        <v/>
      </c>
    </row>
    <row r="14">
      <c r="A14" s="11" t="inlineStr">
        <is>
          <t>OP</t>
        </is>
      </c>
      <c r="B14" s="11" t="n">
        <v>1</v>
      </c>
      <c r="C14" s="11" t="n">
        <v>0</v>
      </c>
      <c r="D14" s="12" t="n">
        <v>200</v>
      </c>
      <c r="E14" s="12" t="n">
        <v>-20.57</v>
      </c>
      <c r="G14" s="4" t="inlineStr">
        <is>
          <t>2026-10-21</t>
        </is>
      </c>
      <c r="H14" s="18" t="n">
        <v>23.34</v>
      </c>
      <c r="I14" s="18">
        <f>SUM(H$11:H14)</f>
        <v/>
      </c>
    </row>
    <row r="15">
      <c r="A15" s="11" t="inlineStr">
        <is>
          <t>CRV</t>
        </is>
      </c>
      <c r="B15" s="11" t="n">
        <v>2</v>
      </c>
      <c r="C15" s="11" t="n">
        <v>0</v>
      </c>
      <c r="D15" s="12" t="n">
        <v>250</v>
      </c>
      <c r="E15" s="12" t="n">
        <v>-21.74</v>
      </c>
      <c r="G15" s="4" t="inlineStr">
        <is>
          <t>2026-10-24</t>
        </is>
      </c>
      <c r="H15" s="18" t="n">
        <v>-40.5</v>
      </c>
      <c r="I15" s="18">
        <f>SUM(H$11:H15)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8" customWidth="1" min="4" max="4"/>
    <col width="13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มูลค่าพอร์ตรายชั่วโมง</t>
        </is>
      </c>
    </row>
    <row r="2">
      <c r="A2" s="2" t="inlineStr">
        <is>
          <t>ก่อนเริ่มโหมดทั้งบัญชี = เฉพาะเงินของบอท (ทุน = เงินที่เติมเข้าบอท) · หลังจากนั้น = ทั้งบัญชี (มูลค่ากระโดดตอนเปลี่ยนโหมด ไม่ใช่กำไร — ดูกราฟกำไรเทียบทุนแทน)</t>
        </is>
      </c>
    </row>
    <row r="3">
      <c r="A3" s="10" t="inlineStr">
        <is>
          <t>เวลา</t>
        </is>
      </c>
      <c r="B3" s="10" t="inlineStr">
        <is>
          <t>มูลค่ารวม</t>
        </is>
      </c>
      <c r="C3" s="10" t="inlineStr">
        <is>
          <t>ทุน</t>
        </is>
      </c>
      <c r="D3" s="10" t="inlineStr">
        <is>
          <t>กำไร/ขาดทุนเทียบทุน</t>
        </is>
      </c>
      <c r="E3" s="10" t="inlineStr">
        <is>
          <t>มูลค่าเหรียญ</t>
        </is>
      </c>
      <c r="F3" s="10" t="inlineStr">
        <is>
          <t>เงินในกอง</t>
        </is>
      </c>
      <c r="G3" s="10" t="inlineStr">
        <is>
          <t>กำไรแยกเก็บ (เดิม)</t>
        </is>
      </c>
      <c r="H3" s="10" t="inlineStr">
        <is>
          <t>กำไรที่ขายแล้วสะสม</t>
        </is>
      </c>
    </row>
    <row r="4">
      <c r="A4" s="20" t="n">
        <v>46312.68976851852</v>
      </c>
      <c r="B4" s="12" t="n">
        <v>399.9</v>
      </c>
      <c r="C4" s="12" t="n">
        <v>400</v>
      </c>
      <c r="D4" s="12" t="n">
        <v>-0.1</v>
      </c>
      <c r="E4" s="12" t="n">
        <v>399.9</v>
      </c>
      <c r="F4" s="12" t="n">
        <v>0</v>
      </c>
      <c r="G4" s="12" t="n">
        <v>0</v>
      </c>
      <c r="H4" s="12" t="n">
        <v>0</v>
      </c>
    </row>
    <row r="5">
      <c r="A5" s="20" t="n">
        <v>46312.71646990741</v>
      </c>
      <c r="B5" s="12" t="n">
        <v>399.1</v>
      </c>
      <c r="C5" s="12" t="n">
        <v>400</v>
      </c>
      <c r="D5" s="12" t="n">
        <v>-0.9</v>
      </c>
      <c r="E5" s="12" t="n">
        <v>399.1</v>
      </c>
      <c r="F5" s="12" t="n">
        <v>0</v>
      </c>
      <c r="G5" s="12" t="n">
        <v>0</v>
      </c>
      <c r="H5" s="12" t="n">
        <v>0</v>
      </c>
    </row>
    <row r="6">
      <c r="A6" s="20" t="n">
        <v>46312.7199537037</v>
      </c>
      <c r="B6" s="12" t="n">
        <v>399.04</v>
      </c>
      <c r="C6" s="12" t="n">
        <v>400</v>
      </c>
      <c r="D6" s="12" t="n">
        <v>-0.96</v>
      </c>
      <c r="E6" s="12" t="n">
        <v>399.04</v>
      </c>
      <c r="F6" s="12" t="n">
        <v>0</v>
      </c>
      <c r="G6" s="12" t="n">
        <v>0</v>
      </c>
      <c r="H6" s="12" t="n">
        <v>0</v>
      </c>
    </row>
    <row r="7">
      <c r="A7" s="20" t="n">
        <v>46312.7253125</v>
      </c>
      <c r="B7" s="12" t="n">
        <v>399.25</v>
      </c>
      <c r="C7" s="12" t="n">
        <v>400</v>
      </c>
      <c r="D7" s="12" t="n">
        <v>-0.75</v>
      </c>
      <c r="E7" s="12" t="n">
        <v>399.25</v>
      </c>
      <c r="F7" s="12" t="n">
        <v>0</v>
      </c>
      <c r="G7" s="12" t="n">
        <v>0</v>
      </c>
      <c r="H7" s="12" t="n">
        <v>0</v>
      </c>
    </row>
    <row r="8">
      <c r="A8" s="20" t="n">
        <v>46312.72645833333</v>
      </c>
      <c r="B8" s="12" t="n">
        <v>699.02</v>
      </c>
      <c r="C8" s="12" t="n">
        <v>700</v>
      </c>
      <c r="D8" s="12" t="n">
        <v>-0.98</v>
      </c>
      <c r="E8" s="12" t="n">
        <v>699.02</v>
      </c>
      <c r="F8" s="12" t="n">
        <v>0</v>
      </c>
      <c r="G8" s="12" t="n">
        <v>0</v>
      </c>
      <c r="H8" s="12" t="n">
        <v>0</v>
      </c>
    </row>
    <row r="9">
      <c r="A9" s="20" t="n">
        <v>46312.73130787037</v>
      </c>
      <c r="B9" s="12" t="n">
        <v>699.78</v>
      </c>
      <c r="C9" s="12" t="n">
        <v>700</v>
      </c>
      <c r="D9" s="12" t="n">
        <v>-0.22</v>
      </c>
      <c r="E9" s="12" t="n">
        <v>699.78</v>
      </c>
      <c r="F9" s="12" t="n">
        <v>0</v>
      </c>
      <c r="G9" s="12" t="n">
        <v>0</v>
      </c>
      <c r="H9" s="12" t="n">
        <v>0</v>
      </c>
    </row>
    <row r="10">
      <c r="A10" s="20" t="n">
        <v>46312.73539351852</v>
      </c>
      <c r="B10" s="12" t="n">
        <v>700.3200000000001</v>
      </c>
      <c r="C10" s="12" t="n">
        <v>700</v>
      </c>
      <c r="D10" s="12" t="n">
        <v>0.32</v>
      </c>
      <c r="E10" s="12" t="n">
        <v>700.3200000000001</v>
      </c>
      <c r="F10" s="12" t="n">
        <v>0</v>
      </c>
      <c r="G10" s="12" t="n">
        <v>0</v>
      </c>
      <c r="H10" s="12" t="n">
        <v>0</v>
      </c>
    </row>
    <row r="11">
      <c r="A11" s="20" t="n">
        <v>46312.74854166667</v>
      </c>
      <c r="B11" s="12" t="n">
        <v>700.92</v>
      </c>
      <c r="C11" s="12" t="n">
        <v>700</v>
      </c>
      <c r="D11" s="12" t="n">
        <v>0.92</v>
      </c>
      <c r="E11" s="12" t="n">
        <v>700.92</v>
      </c>
      <c r="F11" s="12" t="n">
        <v>0</v>
      </c>
      <c r="G11" s="12" t="n">
        <v>0</v>
      </c>
      <c r="H11" s="12" t="n">
        <v>0</v>
      </c>
    </row>
    <row r="12">
      <c r="A12" s="20" t="n">
        <v>46312.75153935186</v>
      </c>
      <c r="B12" s="12" t="n">
        <v>701.12</v>
      </c>
      <c r="C12" s="12" t="n">
        <v>700</v>
      </c>
      <c r="D12" s="12" t="n">
        <v>1.12</v>
      </c>
      <c r="E12" s="12" t="n">
        <v>701.12</v>
      </c>
      <c r="F12" s="12" t="n">
        <v>0</v>
      </c>
      <c r="G12" s="12" t="n">
        <v>0</v>
      </c>
      <c r="H12" s="12" t="n">
        <v>0</v>
      </c>
    </row>
    <row r="13">
      <c r="A13" s="20" t="n">
        <v>46312.75736111111</v>
      </c>
      <c r="B13" s="12" t="n">
        <v>700.8099999999999</v>
      </c>
      <c r="C13" s="12" t="n">
        <v>700</v>
      </c>
      <c r="D13" s="12" t="n">
        <v>0.8100000000000001</v>
      </c>
      <c r="E13" s="12" t="n">
        <v>700.8099999999999</v>
      </c>
      <c r="F13" s="12" t="n">
        <v>0</v>
      </c>
      <c r="G13" s="12" t="n">
        <v>0</v>
      </c>
      <c r="H13" s="12" t="n">
        <v>0</v>
      </c>
    </row>
    <row r="14">
      <c r="A14" s="20" t="n">
        <v>46312.79890046296</v>
      </c>
      <c r="B14" s="12" t="n">
        <v>698.4</v>
      </c>
      <c r="C14" s="12" t="n">
        <v>700</v>
      </c>
      <c r="D14" s="12" t="n">
        <v>-1.6</v>
      </c>
      <c r="E14" s="12" t="n">
        <v>698.4</v>
      </c>
      <c r="F14" s="12" t="n">
        <v>0</v>
      </c>
      <c r="G14" s="12" t="n">
        <v>0</v>
      </c>
      <c r="H14" s="12" t="n">
        <v>0</v>
      </c>
    </row>
    <row r="15">
      <c r="A15" s="20" t="n">
        <v>46312.8466550926</v>
      </c>
      <c r="B15" s="12" t="n">
        <v>694.39</v>
      </c>
      <c r="C15" s="12" t="n">
        <v>700</v>
      </c>
      <c r="D15" s="12" t="n">
        <v>-5.61</v>
      </c>
      <c r="E15" s="12" t="n">
        <v>694.39</v>
      </c>
      <c r="F15" s="12" t="n">
        <v>0</v>
      </c>
      <c r="G15" s="12" t="n">
        <v>0</v>
      </c>
      <c r="H15" s="12" t="n">
        <v>0</v>
      </c>
    </row>
    <row r="16">
      <c r="A16" s="20" t="n">
        <v>46312.88306712963</v>
      </c>
      <c r="B16" s="12" t="n">
        <v>695.33</v>
      </c>
      <c r="C16" s="12" t="n">
        <v>700</v>
      </c>
      <c r="D16" s="12" t="n">
        <v>-4.67</v>
      </c>
      <c r="E16" s="12" t="n">
        <v>695.33</v>
      </c>
      <c r="F16" s="12" t="n">
        <v>0</v>
      </c>
      <c r="G16" s="12" t="n">
        <v>0</v>
      </c>
      <c r="H16" s="12" t="n">
        <v>0</v>
      </c>
    </row>
    <row r="17">
      <c r="A17" s="20" t="n">
        <v>46312.92415509259</v>
      </c>
      <c r="B17" s="12" t="n">
        <v>696.0599999999999</v>
      </c>
      <c r="C17" s="12" t="n">
        <v>700</v>
      </c>
      <c r="D17" s="12" t="n">
        <v>-3.94</v>
      </c>
      <c r="E17" s="12" t="n">
        <v>696.0599999999999</v>
      </c>
      <c r="F17" s="12" t="n">
        <v>0</v>
      </c>
      <c r="G17" s="12" t="n">
        <v>0</v>
      </c>
      <c r="H17" s="12" t="n">
        <v>0</v>
      </c>
    </row>
    <row r="18">
      <c r="A18" s="20" t="n">
        <v>46312.96586805556</v>
      </c>
      <c r="B18" s="12" t="n">
        <v>693.61</v>
      </c>
      <c r="C18" s="12" t="n">
        <v>700</v>
      </c>
      <c r="D18" s="12" t="n">
        <v>-6.39</v>
      </c>
      <c r="E18" s="12" t="n">
        <v>693.61</v>
      </c>
      <c r="F18" s="12" t="n">
        <v>0</v>
      </c>
      <c r="G18" s="12" t="n">
        <v>0</v>
      </c>
      <c r="H18" s="12" t="n">
        <v>0</v>
      </c>
    </row>
    <row r="19">
      <c r="A19" s="20" t="n">
        <v>46313.0078587963</v>
      </c>
      <c r="B19" s="12" t="n">
        <v>690.37</v>
      </c>
      <c r="C19" s="12" t="n">
        <v>700</v>
      </c>
      <c r="D19" s="12" t="n">
        <v>-9.630000000000001</v>
      </c>
      <c r="E19" s="12" t="n">
        <v>690.37</v>
      </c>
      <c r="F19" s="12" t="n">
        <v>0</v>
      </c>
      <c r="G19" s="12" t="n">
        <v>0</v>
      </c>
      <c r="H19" s="12" t="n">
        <v>0</v>
      </c>
    </row>
    <row r="20">
      <c r="A20" s="20" t="n">
        <v>46313.04707175926</v>
      </c>
      <c r="B20" s="12" t="n">
        <v>693.6</v>
      </c>
      <c r="C20" s="12" t="n">
        <v>700</v>
      </c>
      <c r="D20" s="12" t="n">
        <v>-6.4</v>
      </c>
      <c r="E20" s="12" t="n">
        <v>693.6</v>
      </c>
      <c r="F20" s="12" t="n">
        <v>0</v>
      </c>
      <c r="G20" s="12" t="n">
        <v>0</v>
      </c>
      <c r="H20" s="12" t="n">
        <v>0</v>
      </c>
    </row>
    <row r="21">
      <c r="A21" s="20" t="n">
        <v>46313.09134259259</v>
      </c>
      <c r="B21" s="12" t="n">
        <v>694.8099999999999</v>
      </c>
      <c r="C21" s="12" t="n">
        <v>700</v>
      </c>
      <c r="D21" s="12" t="n">
        <v>-5.19</v>
      </c>
      <c r="E21" s="12" t="n">
        <v>694.8099999999999</v>
      </c>
      <c r="F21" s="12" t="n">
        <v>0</v>
      </c>
      <c r="G21" s="12" t="n">
        <v>0</v>
      </c>
      <c r="H21" s="12" t="n">
        <v>0</v>
      </c>
    </row>
    <row r="22">
      <c r="A22" s="20" t="n">
        <v>46313.13041666667</v>
      </c>
      <c r="B22" s="12" t="n">
        <v>698.73</v>
      </c>
      <c r="C22" s="12" t="n">
        <v>700</v>
      </c>
      <c r="D22" s="12" t="n">
        <v>-1.27</v>
      </c>
      <c r="E22" s="12" t="n">
        <v>698.73</v>
      </c>
      <c r="F22" s="12" t="n">
        <v>0</v>
      </c>
      <c r="G22" s="12" t="n">
        <v>0</v>
      </c>
      <c r="H22" s="12" t="n">
        <v>0</v>
      </c>
    </row>
    <row r="23">
      <c r="A23" s="20" t="n">
        <v>46313.17418981482</v>
      </c>
      <c r="B23" s="12" t="n">
        <v>699.58</v>
      </c>
      <c r="C23" s="12" t="n">
        <v>700</v>
      </c>
      <c r="D23" s="12" t="n">
        <v>-0.42</v>
      </c>
      <c r="E23" s="12" t="n">
        <v>699.58</v>
      </c>
      <c r="F23" s="12" t="n">
        <v>0</v>
      </c>
      <c r="G23" s="12" t="n">
        <v>0</v>
      </c>
      <c r="H23" s="12" t="n">
        <v>0</v>
      </c>
    </row>
    <row r="24">
      <c r="A24" s="20" t="n">
        <v>46313.21472222222</v>
      </c>
      <c r="B24" s="12" t="n">
        <v>686.04</v>
      </c>
      <c r="C24" s="12" t="n">
        <v>700</v>
      </c>
      <c r="D24" s="12" t="n">
        <v>-13.96</v>
      </c>
      <c r="E24" s="12" t="n">
        <v>595.4400000000001</v>
      </c>
      <c r="F24" s="12" t="n">
        <v>90.59999999999999</v>
      </c>
      <c r="G24" s="12" t="n">
        <v>0</v>
      </c>
      <c r="H24" s="12" t="n">
        <v>-9.4</v>
      </c>
    </row>
    <row r="25">
      <c r="A25" s="20" t="n">
        <v>46313.2358912037</v>
      </c>
      <c r="B25" s="12" t="n">
        <v>686.92</v>
      </c>
      <c r="C25" s="12" t="n">
        <v>700</v>
      </c>
      <c r="D25" s="12" t="n">
        <v>-13.08</v>
      </c>
      <c r="E25" s="12" t="n">
        <v>596.3200000000001</v>
      </c>
      <c r="F25" s="12" t="n">
        <v>90.59999999999999</v>
      </c>
      <c r="G25" s="12" t="n">
        <v>0</v>
      </c>
      <c r="H25" s="12" t="n">
        <v>-9.4</v>
      </c>
    </row>
    <row r="26">
      <c r="A26" s="20" t="n">
        <v>46313.25480324074</v>
      </c>
      <c r="B26" s="12" t="n">
        <v>688.42</v>
      </c>
      <c r="C26" s="12" t="n">
        <v>700</v>
      </c>
      <c r="D26" s="12" t="n">
        <v>-11.58</v>
      </c>
      <c r="E26" s="12" t="n">
        <v>597.8200000000001</v>
      </c>
      <c r="F26" s="12" t="n">
        <v>90.59999999999999</v>
      </c>
      <c r="G26" s="12" t="n">
        <v>0</v>
      </c>
      <c r="H26" s="12" t="n">
        <v>-9.4</v>
      </c>
    </row>
    <row r="27">
      <c r="A27" s="20" t="n">
        <v>46313.29680555555</v>
      </c>
      <c r="B27" s="12" t="n">
        <v>691.26</v>
      </c>
      <c r="C27" s="12" t="n">
        <v>700</v>
      </c>
      <c r="D27" s="12" t="n">
        <v>-8.74</v>
      </c>
      <c r="E27" s="12" t="n">
        <v>548.04</v>
      </c>
      <c r="F27" s="12" t="n">
        <v>140.6</v>
      </c>
      <c r="G27" s="12" t="n">
        <v>2.62</v>
      </c>
      <c r="H27" s="12" t="n">
        <v>-6.78</v>
      </c>
    </row>
    <row r="28">
      <c r="A28" s="20" t="n">
        <v>46313.34960648148</v>
      </c>
      <c r="B28" s="12" t="n">
        <v>693.21</v>
      </c>
      <c r="C28" s="12" t="n">
        <v>700</v>
      </c>
      <c r="D28" s="12" t="n">
        <v>-6.79</v>
      </c>
      <c r="E28" s="12" t="n">
        <v>549.99</v>
      </c>
      <c r="F28" s="12" t="n">
        <v>140.6</v>
      </c>
      <c r="G28" s="12" t="n">
        <v>2.62</v>
      </c>
      <c r="H28" s="12" t="n">
        <v>-6.78</v>
      </c>
    </row>
    <row r="29">
      <c r="A29" s="20" t="n">
        <v>46313.38574074074</v>
      </c>
      <c r="B29" s="12" t="n">
        <v>693.15</v>
      </c>
      <c r="C29" s="12" t="n">
        <v>700</v>
      </c>
      <c r="D29" s="12" t="n">
        <v>-6.85</v>
      </c>
      <c r="E29" s="12" t="n">
        <v>549.9299999999999</v>
      </c>
      <c r="F29" s="12" t="n">
        <v>140.6</v>
      </c>
      <c r="G29" s="12" t="n">
        <v>2.62</v>
      </c>
      <c r="H29" s="12" t="n">
        <v>-6.78</v>
      </c>
    </row>
    <row r="30">
      <c r="A30" s="20" t="n">
        <v>46313.42684027777</v>
      </c>
      <c r="B30" s="12" t="n">
        <v>696.17</v>
      </c>
      <c r="C30" s="12" t="n">
        <v>700</v>
      </c>
      <c r="D30" s="12" t="n">
        <v>-3.83</v>
      </c>
      <c r="E30" s="12" t="n">
        <v>501.17</v>
      </c>
      <c r="F30" s="12" t="n">
        <v>190.6</v>
      </c>
      <c r="G30" s="12" t="n">
        <v>4.4</v>
      </c>
      <c r="H30" s="12" t="n">
        <v>-5</v>
      </c>
    </row>
    <row r="31">
      <c r="A31" s="20" t="n">
        <v>46313.46924768519</v>
      </c>
      <c r="B31" s="12" t="n">
        <v>695.91</v>
      </c>
      <c r="C31" s="12" t="n">
        <v>700</v>
      </c>
      <c r="D31" s="12" t="n">
        <v>-4.09</v>
      </c>
      <c r="E31" s="12" t="n">
        <v>500.91</v>
      </c>
      <c r="F31" s="12" t="n">
        <v>190.6</v>
      </c>
      <c r="G31" s="12" t="n">
        <v>4.4</v>
      </c>
      <c r="H31" s="12" t="n">
        <v>-5</v>
      </c>
    </row>
    <row r="32">
      <c r="A32" s="20" t="n">
        <v>46313.51010416666</v>
      </c>
      <c r="B32" s="12" t="n">
        <v>693.6</v>
      </c>
      <c r="C32" s="12" t="n">
        <v>700</v>
      </c>
      <c r="D32" s="12" t="n">
        <v>-6.4</v>
      </c>
      <c r="E32" s="12" t="n">
        <v>548.6</v>
      </c>
      <c r="F32" s="12" t="n">
        <v>140.6</v>
      </c>
      <c r="G32" s="12" t="n">
        <v>4.4</v>
      </c>
      <c r="H32" s="12" t="n">
        <v>-5</v>
      </c>
    </row>
    <row r="33">
      <c r="A33" s="20" t="n">
        <v>46313.55016203703</v>
      </c>
      <c r="B33" s="12" t="n">
        <v>692.25</v>
      </c>
      <c r="C33" s="12" t="n">
        <v>700</v>
      </c>
      <c r="D33" s="12" t="n">
        <v>-7.75</v>
      </c>
      <c r="E33" s="12" t="n">
        <v>597.25</v>
      </c>
      <c r="F33" s="12" t="n">
        <v>90.59999999999999</v>
      </c>
      <c r="G33" s="12" t="n">
        <v>4.4</v>
      </c>
      <c r="H33" s="12" t="n">
        <v>-5</v>
      </c>
    </row>
    <row r="34">
      <c r="A34" s="20" t="n">
        <v>46313.59946759259</v>
      </c>
      <c r="B34" s="12" t="n">
        <v>693.0700000000001</v>
      </c>
      <c r="C34" s="12" t="n">
        <v>700</v>
      </c>
      <c r="D34" s="12" t="n">
        <v>-6.93</v>
      </c>
      <c r="E34" s="12" t="n">
        <v>598.0700000000001</v>
      </c>
      <c r="F34" s="12" t="n">
        <v>90.59999999999999</v>
      </c>
      <c r="G34" s="12" t="n">
        <v>4.4</v>
      </c>
      <c r="H34" s="12" t="n">
        <v>-5</v>
      </c>
    </row>
    <row r="35">
      <c r="A35" s="20" t="n">
        <v>46313.6346875</v>
      </c>
      <c r="B35" s="12" t="n">
        <v>692.03</v>
      </c>
      <c r="C35" s="12" t="n">
        <v>700</v>
      </c>
      <c r="D35" s="12" t="n">
        <v>-7.97</v>
      </c>
      <c r="E35" s="12" t="n">
        <v>597.03</v>
      </c>
      <c r="F35" s="12" t="n">
        <v>90.59999999999999</v>
      </c>
      <c r="G35" s="12" t="n">
        <v>4.4</v>
      </c>
      <c r="H35" s="12" t="n">
        <v>-5</v>
      </c>
    </row>
    <row r="36">
      <c r="A36" s="20" t="n">
        <v>46313.67563657407</v>
      </c>
      <c r="B36" s="12" t="n">
        <v>694.24</v>
      </c>
      <c r="C36" s="12" t="n">
        <v>700</v>
      </c>
      <c r="D36" s="12" t="n">
        <v>-5.76</v>
      </c>
      <c r="E36" s="12" t="n">
        <v>599.24</v>
      </c>
      <c r="F36" s="12" t="n">
        <v>90.59999999999999</v>
      </c>
      <c r="G36" s="12" t="n">
        <v>4.4</v>
      </c>
      <c r="H36" s="12" t="n">
        <v>-5</v>
      </c>
    </row>
    <row r="37">
      <c r="A37" s="20" t="n">
        <v>46313.7165625</v>
      </c>
      <c r="B37" s="12" t="n">
        <v>695.95</v>
      </c>
      <c r="C37" s="12" t="n">
        <v>700</v>
      </c>
      <c r="D37" s="12" t="n">
        <v>-4.05</v>
      </c>
      <c r="E37" s="12" t="n">
        <v>599.05</v>
      </c>
      <c r="F37" s="12" t="n">
        <v>90.59999999999999</v>
      </c>
      <c r="G37" s="12" t="n">
        <v>6.3</v>
      </c>
      <c r="H37" s="12" t="n">
        <v>-3.1</v>
      </c>
    </row>
    <row r="38">
      <c r="A38" s="20" t="n">
        <v>46313.75818287037</v>
      </c>
      <c r="B38" s="12" t="n">
        <v>694.78</v>
      </c>
      <c r="C38" s="12" t="n">
        <v>700</v>
      </c>
      <c r="D38" s="12" t="n">
        <v>-5.22</v>
      </c>
      <c r="E38" s="12" t="n">
        <v>647.88</v>
      </c>
      <c r="F38" s="12" t="n">
        <v>40.6</v>
      </c>
      <c r="G38" s="12" t="n">
        <v>6.3</v>
      </c>
      <c r="H38" s="12" t="n">
        <v>-3.1</v>
      </c>
    </row>
    <row r="39">
      <c r="A39" s="20" t="n">
        <v>46313.79872685186</v>
      </c>
      <c r="B39" s="12" t="n">
        <v>694.66</v>
      </c>
      <c r="C39" s="12" t="n">
        <v>700</v>
      </c>
      <c r="D39" s="12" t="n">
        <v>-5.34</v>
      </c>
      <c r="E39" s="12" t="n">
        <v>647.76</v>
      </c>
      <c r="F39" s="12" t="n">
        <v>40.6</v>
      </c>
      <c r="G39" s="12" t="n">
        <v>6.3</v>
      </c>
      <c r="H39" s="12" t="n">
        <v>-3.1</v>
      </c>
    </row>
    <row r="40">
      <c r="A40" s="20" t="n">
        <v>46313.8469675926</v>
      </c>
      <c r="B40" s="12" t="n">
        <v>692.97</v>
      </c>
      <c r="C40" s="12" t="n">
        <v>700</v>
      </c>
      <c r="D40" s="12" t="n">
        <v>-7.03</v>
      </c>
      <c r="E40" s="12" t="n">
        <v>646.0700000000001</v>
      </c>
      <c r="F40" s="12" t="n">
        <v>40.6</v>
      </c>
      <c r="G40" s="12" t="n">
        <v>6.3</v>
      </c>
      <c r="H40" s="12" t="n">
        <v>-3.1</v>
      </c>
    </row>
    <row r="41">
      <c r="A41" s="20" t="n">
        <v>46313.88265046296</v>
      </c>
      <c r="B41" s="12" t="n">
        <v>682.49</v>
      </c>
      <c r="C41" s="12" t="n">
        <v>700</v>
      </c>
      <c r="D41" s="12" t="n">
        <v>-17.51</v>
      </c>
      <c r="E41" s="12" t="n">
        <v>640.74</v>
      </c>
      <c r="F41" s="12" t="n">
        <v>35.45</v>
      </c>
      <c r="G41" s="12" t="n">
        <v>6.3</v>
      </c>
      <c r="H41" s="12" t="n">
        <v>-8.25</v>
      </c>
    </row>
    <row r="42">
      <c r="A42" s="20" t="n">
        <v>46313.92454861111</v>
      </c>
      <c r="B42" s="12" t="n">
        <v>681.3200000000001</v>
      </c>
      <c r="C42" s="12" t="n">
        <v>700</v>
      </c>
      <c r="D42" s="12" t="n">
        <v>-18.68</v>
      </c>
      <c r="E42" s="12" t="n">
        <v>639.5700000000001</v>
      </c>
      <c r="F42" s="12" t="n">
        <v>35.45</v>
      </c>
      <c r="G42" s="12" t="n">
        <v>6.3</v>
      </c>
      <c r="H42" s="12" t="n">
        <v>-8.25</v>
      </c>
    </row>
    <row r="43">
      <c r="A43" s="20" t="n">
        <v>46313.96626157407</v>
      </c>
      <c r="B43" s="12" t="n">
        <v>679.24</v>
      </c>
      <c r="C43" s="12" t="n">
        <v>700</v>
      </c>
      <c r="D43" s="12" t="n">
        <v>-20.76</v>
      </c>
      <c r="E43" s="12" t="n">
        <v>637.49</v>
      </c>
      <c r="F43" s="12" t="n">
        <v>35.45</v>
      </c>
      <c r="G43" s="12" t="n">
        <v>6.3</v>
      </c>
      <c r="H43" s="12" t="n">
        <v>-8.25</v>
      </c>
    </row>
    <row r="44">
      <c r="A44" s="20" t="n">
        <v>46314.00883101852</v>
      </c>
      <c r="B44" s="12" t="n">
        <v>681.5700000000001</v>
      </c>
      <c r="C44" s="12" t="n">
        <v>700</v>
      </c>
      <c r="D44" s="12" t="n">
        <v>-18.43</v>
      </c>
      <c r="E44" s="12" t="n">
        <v>639.8200000000001</v>
      </c>
      <c r="F44" s="12" t="n">
        <v>35.45</v>
      </c>
      <c r="G44" s="12" t="n">
        <v>6.3</v>
      </c>
      <c r="H44" s="12" t="n">
        <v>-8.25</v>
      </c>
    </row>
    <row r="45">
      <c r="A45" s="20" t="n">
        <v>46314.04800925926</v>
      </c>
      <c r="B45" s="12" t="n">
        <v>679.3</v>
      </c>
      <c r="C45" s="12" t="n">
        <v>700</v>
      </c>
      <c r="D45" s="12" t="n">
        <v>-20.7</v>
      </c>
      <c r="E45" s="12" t="n">
        <v>540.96</v>
      </c>
      <c r="F45" s="12" t="n">
        <v>132.04</v>
      </c>
      <c r="G45" s="12" t="n">
        <v>6.3</v>
      </c>
      <c r="H45" s="12" t="n">
        <v>-11.66</v>
      </c>
    </row>
    <row r="46">
      <c r="A46" s="20" t="n">
        <v>46314.09130787037</v>
      </c>
      <c r="B46" s="12" t="n">
        <v>677.7</v>
      </c>
      <c r="C46" s="12" t="n">
        <v>700</v>
      </c>
      <c r="D46" s="12" t="n">
        <v>-22.3</v>
      </c>
      <c r="E46" s="12" t="n">
        <v>539.36</v>
      </c>
      <c r="F46" s="12" t="n">
        <v>132.04</v>
      </c>
      <c r="G46" s="12" t="n">
        <v>6.3</v>
      </c>
      <c r="H46" s="12" t="n">
        <v>-11.66</v>
      </c>
    </row>
    <row r="47">
      <c r="A47" s="20" t="n">
        <v>46314.13037037037</v>
      </c>
      <c r="B47" s="12" t="n">
        <v>672.48</v>
      </c>
      <c r="C47" s="12" t="n">
        <v>700</v>
      </c>
      <c r="D47" s="12" t="n">
        <v>-27.52</v>
      </c>
      <c r="E47" s="12" t="n">
        <v>147.72</v>
      </c>
      <c r="F47" s="12" t="n">
        <v>518.46</v>
      </c>
      <c r="G47" s="12" t="n">
        <v>6.3</v>
      </c>
      <c r="H47" s="12" t="n">
        <v>-25.24</v>
      </c>
    </row>
    <row r="48">
      <c r="A48" s="20" t="n">
        <v>46314.17365740741</v>
      </c>
      <c r="B48" s="12" t="n">
        <v>672.89</v>
      </c>
      <c r="C48" s="12" t="n">
        <v>700</v>
      </c>
      <c r="D48" s="12" t="n">
        <v>-27.11</v>
      </c>
      <c r="E48" s="12" t="n">
        <v>148.13</v>
      </c>
      <c r="F48" s="12" t="n">
        <v>518.46</v>
      </c>
      <c r="G48" s="12" t="n">
        <v>6.3</v>
      </c>
      <c r="H48" s="12" t="n">
        <v>-25.24</v>
      </c>
    </row>
    <row r="49">
      <c r="A49" s="20" t="n">
        <v>46314.21527777778</v>
      </c>
      <c r="B49" s="12" t="n">
        <v>675.58</v>
      </c>
      <c r="C49" s="12" t="n">
        <v>700</v>
      </c>
      <c r="D49" s="12" t="n">
        <v>-24.42</v>
      </c>
      <c r="E49" s="12" t="n">
        <v>150.82</v>
      </c>
      <c r="F49" s="12" t="n">
        <v>518.46</v>
      </c>
      <c r="G49" s="12" t="n">
        <v>6.3</v>
      </c>
      <c r="H49" s="12" t="n">
        <v>-25.24</v>
      </c>
    </row>
    <row r="50">
      <c r="A50" s="20" t="n">
        <v>46314.25575231481</v>
      </c>
      <c r="B50" s="12" t="n">
        <v>676.64</v>
      </c>
      <c r="C50" s="12" t="n">
        <v>700</v>
      </c>
      <c r="D50" s="12" t="n">
        <v>-23.36</v>
      </c>
      <c r="E50" s="12" t="n">
        <v>151.88</v>
      </c>
      <c r="F50" s="12" t="n">
        <v>518.46</v>
      </c>
      <c r="G50" s="12" t="n">
        <v>6.3</v>
      </c>
      <c r="H50" s="12" t="n">
        <v>-25.24</v>
      </c>
    </row>
    <row r="51">
      <c r="A51" s="20" t="n">
        <v>46314.29743055555</v>
      </c>
      <c r="B51" s="12" t="n">
        <v>677.27</v>
      </c>
      <c r="C51" s="12" t="n">
        <v>700</v>
      </c>
      <c r="D51" s="12" t="n">
        <v>-22.73</v>
      </c>
      <c r="E51" s="12" t="n">
        <v>100.61</v>
      </c>
      <c r="F51" s="12" t="n">
        <v>568.46</v>
      </c>
      <c r="G51" s="12" t="n">
        <v>8.199999999999999</v>
      </c>
      <c r="H51" s="12" t="n">
        <v>-23.34</v>
      </c>
    </row>
    <row r="52">
      <c r="A52" s="20" t="n">
        <v>46314.35166666667</v>
      </c>
      <c r="B52" s="12" t="n">
        <v>677.5599999999999</v>
      </c>
      <c r="C52" s="12" t="n">
        <v>700</v>
      </c>
      <c r="D52" s="12" t="n">
        <v>-22.44</v>
      </c>
      <c r="E52" s="12" t="n">
        <v>100.9</v>
      </c>
      <c r="F52" s="12" t="n">
        <v>568.46</v>
      </c>
      <c r="G52" s="12" t="n">
        <v>8.199999999999999</v>
      </c>
      <c r="H52" s="12" t="n">
        <v>-23.34</v>
      </c>
    </row>
    <row r="53">
      <c r="A53" s="20" t="n">
        <v>46314.38695601852</v>
      </c>
      <c r="B53" s="12" t="n">
        <v>677.74</v>
      </c>
      <c r="C53" s="12" t="n">
        <v>700</v>
      </c>
      <c r="D53" s="12" t="n">
        <v>-22.26</v>
      </c>
      <c r="E53" s="12" t="n">
        <v>101.08</v>
      </c>
      <c r="F53" s="12" t="n">
        <v>568.46</v>
      </c>
      <c r="G53" s="12" t="n">
        <v>8.199999999999999</v>
      </c>
      <c r="H53" s="12" t="n">
        <v>-23.34</v>
      </c>
    </row>
    <row r="54">
      <c r="A54" s="20" t="n">
        <v>46314.42936342592</v>
      </c>
      <c r="B54" s="12" t="n">
        <v>677.86</v>
      </c>
      <c r="C54" s="12" t="n">
        <v>700</v>
      </c>
      <c r="D54" s="12" t="n">
        <v>-22.14</v>
      </c>
      <c r="E54" s="12" t="n">
        <v>201.2</v>
      </c>
      <c r="F54" s="12" t="n">
        <v>468.46</v>
      </c>
      <c r="G54" s="12" t="n">
        <v>8.199999999999999</v>
      </c>
      <c r="H54" s="12" t="n">
        <v>-23.34</v>
      </c>
    </row>
    <row r="55">
      <c r="A55" s="20" t="n">
        <v>46314.47344907407</v>
      </c>
      <c r="B55" s="12" t="n">
        <v>677.8099999999999</v>
      </c>
      <c r="C55" s="12" t="n">
        <v>700</v>
      </c>
      <c r="D55" s="12" t="n">
        <v>-22.19</v>
      </c>
      <c r="E55" s="12" t="n">
        <v>351.15</v>
      </c>
      <c r="F55" s="12" t="n">
        <v>318.46</v>
      </c>
      <c r="G55" s="12" t="n">
        <v>8.199999999999999</v>
      </c>
      <c r="H55" s="12" t="n">
        <v>-23.34</v>
      </c>
    </row>
    <row r="56">
      <c r="A56" s="20" t="n">
        <v>46314.51480324074</v>
      </c>
      <c r="B56" s="12" t="n">
        <v>678.25</v>
      </c>
      <c r="C56" s="12" t="n">
        <v>700</v>
      </c>
      <c r="D56" s="12" t="n">
        <v>-21.75</v>
      </c>
      <c r="E56" s="12" t="n">
        <v>351.59</v>
      </c>
      <c r="F56" s="12" t="n">
        <v>318.46</v>
      </c>
      <c r="G56" s="12" t="n">
        <v>8.199999999999999</v>
      </c>
      <c r="H56" s="12" t="n">
        <v>-23.34</v>
      </c>
    </row>
    <row r="57">
      <c r="A57" s="20" t="n">
        <v>46314.55540509259</v>
      </c>
      <c r="B57" s="12" t="n">
        <v>679.48</v>
      </c>
      <c r="C57" s="12" t="n">
        <v>700</v>
      </c>
      <c r="D57" s="12" t="n">
        <v>-20.52</v>
      </c>
      <c r="E57" s="12" t="n">
        <v>352.82</v>
      </c>
      <c r="F57" s="12" t="n">
        <v>318.46</v>
      </c>
      <c r="G57" s="12" t="n">
        <v>8.199999999999999</v>
      </c>
      <c r="H57" s="12" t="n">
        <v>-23.34</v>
      </c>
    </row>
    <row r="58">
      <c r="A58" s="20" t="n">
        <v>46314.60901620371</v>
      </c>
      <c r="B58" s="12" t="n">
        <v>681.3099999999999</v>
      </c>
      <c r="C58" s="12" t="n">
        <v>700</v>
      </c>
      <c r="D58" s="12" t="n">
        <v>-18.69</v>
      </c>
      <c r="E58" s="12" t="n">
        <v>404.65</v>
      </c>
      <c r="F58" s="12" t="n">
        <v>268.46</v>
      </c>
      <c r="G58" s="12" t="n">
        <v>8.199999999999999</v>
      </c>
      <c r="H58" s="12" t="n">
        <v>-23.34</v>
      </c>
    </row>
    <row r="59">
      <c r="A59" s="20" t="n">
        <v>46314.64420138889</v>
      </c>
      <c r="B59" s="12" t="n">
        <v>680.27</v>
      </c>
      <c r="C59" s="12" t="n">
        <v>700</v>
      </c>
      <c r="D59" s="12" t="n">
        <v>-19.73</v>
      </c>
      <c r="E59" s="12" t="n">
        <v>403.61</v>
      </c>
      <c r="F59" s="12" t="n">
        <v>268.46</v>
      </c>
      <c r="G59" s="12" t="n">
        <v>8.199999999999999</v>
      </c>
      <c r="H59" s="12" t="n">
        <v>-23.34</v>
      </c>
    </row>
    <row r="60">
      <c r="A60" s="20" t="n">
        <v>46314.68261574074</v>
      </c>
      <c r="B60" s="12" t="n">
        <v>680.47</v>
      </c>
      <c r="C60" s="12" t="n">
        <v>700</v>
      </c>
      <c r="D60" s="12" t="n">
        <v>-19.53</v>
      </c>
      <c r="E60" s="12" t="n">
        <v>403.81</v>
      </c>
      <c r="F60" s="12" t="n">
        <v>268.46</v>
      </c>
      <c r="G60" s="12" t="n">
        <v>8.199999999999999</v>
      </c>
      <c r="H60" s="12" t="n">
        <v>-23.34</v>
      </c>
    </row>
    <row r="61">
      <c r="A61" s="20" t="n">
        <v>46314.72377314815</v>
      </c>
      <c r="B61" s="12" t="n">
        <v>678.54</v>
      </c>
      <c r="C61" s="12" t="n">
        <v>700</v>
      </c>
      <c r="D61" s="12" t="n">
        <v>-21.46</v>
      </c>
      <c r="E61" s="12" t="n">
        <v>401.88</v>
      </c>
      <c r="F61" s="12" t="n">
        <v>268.46</v>
      </c>
      <c r="G61" s="12" t="n">
        <v>8.199999999999999</v>
      </c>
      <c r="H61" s="12" t="n">
        <v>-23.34</v>
      </c>
    </row>
    <row r="62">
      <c r="A62" s="20" t="n">
        <v>46314.76299768518</v>
      </c>
      <c r="B62" s="12" t="n">
        <v>674.52</v>
      </c>
      <c r="C62" s="12" t="n">
        <v>700</v>
      </c>
      <c r="D62" s="12" t="n">
        <v>-25.48</v>
      </c>
      <c r="E62" s="12" t="n">
        <v>397.86</v>
      </c>
      <c r="F62" s="12" t="n">
        <v>268.46</v>
      </c>
      <c r="G62" s="12" t="n">
        <v>8.199999999999999</v>
      </c>
      <c r="H62" s="12" t="n">
        <v>-23.34</v>
      </c>
    </row>
    <row r="63">
      <c r="A63" s="20" t="n">
        <v>46314.8059375</v>
      </c>
      <c r="B63" s="12" t="n">
        <v>678.1900000000001</v>
      </c>
      <c r="C63" s="12" t="n">
        <v>700</v>
      </c>
      <c r="D63" s="12" t="n">
        <v>-21.81</v>
      </c>
      <c r="E63" s="12" t="n">
        <v>401.53</v>
      </c>
      <c r="F63" s="12" t="n">
        <v>268.46</v>
      </c>
      <c r="G63" s="12" t="n">
        <v>8.199999999999999</v>
      </c>
      <c r="H63" s="12" t="n">
        <v>-23.34</v>
      </c>
    </row>
    <row r="64">
      <c r="A64" s="20" t="n">
        <v>46314.85594907407</v>
      </c>
      <c r="B64" s="12" t="n">
        <v>677.84</v>
      </c>
      <c r="C64" s="12" t="n">
        <v>700</v>
      </c>
      <c r="D64" s="12" t="n">
        <v>-22.16</v>
      </c>
      <c r="E64" s="12" t="n">
        <v>401.18</v>
      </c>
      <c r="F64" s="12" t="n">
        <v>268.46</v>
      </c>
      <c r="G64" s="12" t="n">
        <v>8.199999999999999</v>
      </c>
      <c r="H64" s="12" t="n">
        <v>-23.34</v>
      </c>
    </row>
    <row r="65">
      <c r="A65" s="20" t="n">
        <v>46314.89373842593</v>
      </c>
      <c r="B65" s="12" t="n">
        <v>673.87</v>
      </c>
      <c r="C65" s="12" t="n">
        <v>700</v>
      </c>
      <c r="D65" s="12" t="n">
        <v>-26.13</v>
      </c>
      <c r="E65" s="12" t="n">
        <v>397.21</v>
      </c>
      <c r="F65" s="12" t="n">
        <v>268.46</v>
      </c>
      <c r="G65" s="12" t="n">
        <v>8.199999999999999</v>
      </c>
      <c r="H65" s="12" t="n">
        <v>-23.34</v>
      </c>
    </row>
    <row r="66">
      <c r="A66" s="20" t="n">
        <v>46314.93355324074</v>
      </c>
      <c r="B66" s="12" t="n">
        <v>677.66</v>
      </c>
      <c r="C66" s="12" t="n">
        <v>700</v>
      </c>
      <c r="D66" s="12" t="n">
        <v>-22.34</v>
      </c>
      <c r="E66" s="12" t="n">
        <v>401</v>
      </c>
      <c r="F66" s="12" t="n">
        <v>268.46</v>
      </c>
      <c r="G66" s="12" t="n">
        <v>8.199999999999999</v>
      </c>
      <c r="H66" s="12" t="n">
        <v>-23.34</v>
      </c>
    </row>
    <row r="67">
      <c r="A67" s="20" t="n">
        <v>46314.9719212963</v>
      </c>
      <c r="B67" s="12" t="n">
        <v>676.55</v>
      </c>
      <c r="C67" s="12" t="n">
        <v>700</v>
      </c>
      <c r="D67" s="12" t="n">
        <v>-23.45</v>
      </c>
      <c r="E67" s="12" t="n">
        <v>399.89</v>
      </c>
      <c r="F67" s="12" t="n">
        <v>268.46</v>
      </c>
      <c r="G67" s="12" t="n">
        <v>8.199999999999999</v>
      </c>
      <c r="H67" s="12" t="n">
        <v>-23.34</v>
      </c>
    </row>
    <row r="68">
      <c r="A68" s="20" t="n">
        <v>46315.01261574074</v>
      </c>
      <c r="B68" s="12" t="n">
        <v>676.11</v>
      </c>
      <c r="C68" s="12" t="n">
        <v>700</v>
      </c>
      <c r="D68" s="12" t="n">
        <v>-23.89</v>
      </c>
      <c r="E68" s="12" t="n">
        <v>399.45</v>
      </c>
      <c r="F68" s="12" t="n">
        <v>268.46</v>
      </c>
      <c r="G68" s="12" t="n">
        <v>8.199999999999999</v>
      </c>
      <c r="H68" s="12" t="n">
        <v>-23.34</v>
      </c>
    </row>
    <row r="69">
      <c r="A69" s="20" t="n">
        <v>46315.05274305555</v>
      </c>
      <c r="B69" s="12" t="n">
        <v>676.22</v>
      </c>
      <c r="C69" s="12" t="n">
        <v>700</v>
      </c>
      <c r="D69" s="12" t="n">
        <v>-23.78</v>
      </c>
      <c r="E69" s="12" t="n">
        <v>399.56</v>
      </c>
      <c r="F69" s="12" t="n">
        <v>268.46</v>
      </c>
      <c r="G69" s="12" t="n">
        <v>8.199999999999999</v>
      </c>
      <c r="H69" s="12" t="n">
        <v>-23.34</v>
      </c>
    </row>
    <row r="70">
      <c r="A70" s="20" t="n">
        <v>46315.09980324074</v>
      </c>
      <c r="B70" s="12" t="n">
        <v>675.41</v>
      </c>
      <c r="C70" s="12" t="n">
        <v>700</v>
      </c>
      <c r="D70" s="12" t="n">
        <v>-24.59</v>
      </c>
      <c r="E70" s="12" t="n">
        <v>398.75</v>
      </c>
      <c r="F70" s="12" t="n">
        <v>268.46</v>
      </c>
      <c r="G70" s="12" t="n">
        <v>8.199999999999999</v>
      </c>
      <c r="H70" s="12" t="n">
        <v>-23.34</v>
      </c>
    </row>
    <row r="71">
      <c r="A71" s="20" t="n">
        <v>46315.13807870371</v>
      </c>
      <c r="B71" s="12" t="n">
        <v>676.62</v>
      </c>
      <c r="C71" s="12" t="n">
        <v>700</v>
      </c>
      <c r="D71" s="12" t="n">
        <v>-23.38</v>
      </c>
      <c r="E71" s="12" t="n">
        <v>399.96</v>
      </c>
      <c r="F71" s="12" t="n">
        <v>268.46</v>
      </c>
      <c r="G71" s="12" t="n">
        <v>8.199999999999999</v>
      </c>
      <c r="H71" s="12" t="n">
        <v>-23.34</v>
      </c>
    </row>
    <row r="72">
      <c r="A72" s="20" t="n">
        <v>46315.17775462963</v>
      </c>
      <c r="B72" s="12" t="n">
        <v>676.26</v>
      </c>
      <c r="C72" s="12" t="n">
        <v>700</v>
      </c>
      <c r="D72" s="12" t="n">
        <v>-23.74</v>
      </c>
      <c r="E72" s="12" t="n">
        <v>399.6</v>
      </c>
      <c r="F72" s="12" t="n">
        <v>268.46</v>
      </c>
      <c r="G72" s="12" t="n">
        <v>8.199999999999999</v>
      </c>
      <c r="H72" s="12" t="n">
        <v>-23.34</v>
      </c>
    </row>
    <row r="73">
      <c r="A73" s="20" t="n">
        <v>46315.22000639896</v>
      </c>
      <c r="B73" s="12" t="n">
        <v>679.98</v>
      </c>
      <c r="C73" s="12" t="n">
        <v>700</v>
      </c>
      <c r="D73" s="12" t="n">
        <v>-20.02</v>
      </c>
      <c r="E73" s="12" t="n">
        <v>350.42</v>
      </c>
      <c r="F73" s="12" t="n">
        <v>318.46</v>
      </c>
      <c r="G73" s="12" t="n">
        <v>11.1</v>
      </c>
      <c r="H73" s="12" t="n">
        <v>-20.44</v>
      </c>
    </row>
    <row r="74">
      <c r="A74" s="20" t="n">
        <v>46315.26114123056</v>
      </c>
      <c r="B74" s="12" t="n">
        <v>678.74</v>
      </c>
      <c r="C74" s="12" t="n">
        <v>700</v>
      </c>
      <c r="D74" s="12" t="n">
        <v>-21.26</v>
      </c>
      <c r="E74" s="12" t="n">
        <v>349.18</v>
      </c>
      <c r="F74" s="12" t="n">
        <v>318.46</v>
      </c>
      <c r="G74" s="12" t="n">
        <v>11.1</v>
      </c>
      <c r="H74" s="12" t="n">
        <v>-20.44</v>
      </c>
    </row>
    <row r="75">
      <c r="A75" s="20" t="n">
        <v>46315.30079295255</v>
      </c>
      <c r="B75" s="12" t="n">
        <v>677.63</v>
      </c>
      <c r="C75" s="12" t="n">
        <v>700</v>
      </c>
      <c r="D75" s="12" t="n">
        <v>-22.37</v>
      </c>
      <c r="E75" s="12" t="n">
        <v>348.07</v>
      </c>
      <c r="F75" s="12" t="n">
        <v>318.46</v>
      </c>
      <c r="G75" s="12" t="n">
        <v>11.1</v>
      </c>
      <c r="H75" s="12" t="n">
        <v>-20.44</v>
      </c>
    </row>
    <row r="76">
      <c r="A76" s="20" t="n">
        <v>46315.35080592806</v>
      </c>
      <c r="B76" s="12" t="n">
        <v>675.28</v>
      </c>
      <c r="C76" s="12" t="n">
        <v>700</v>
      </c>
      <c r="D76" s="12" t="n">
        <v>-24.72</v>
      </c>
      <c r="E76" s="12" t="n">
        <v>345.72</v>
      </c>
      <c r="F76" s="12" t="n">
        <v>318.46</v>
      </c>
      <c r="G76" s="12" t="n">
        <v>11.1</v>
      </c>
      <c r="H76" s="12" t="n">
        <v>-20.44</v>
      </c>
    </row>
    <row r="77">
      <c r="A77" s="20" t="n">
        <v>46315.38601487975</v>
      </c>
      <c r="B77" s="12" t="n">
        <v>676.37</v>
      </c>
      <c r="C77" s="12" t="n">
        <v>700</v>
      </c>
      <c r="D77" s="12" t="n">
        <v>-23.63</v>
      </c>
      <c r="E77" s="12" t="n">
        <v>346.81</v>
      </c>
      <c r="F77" s="12" t="n">
        <v>318.46</v>
      </c>
      <c r="G77" s="12" t="n">
        <v>11.1</v>
      </c>
      <c r="H77" s="12" t="n">
        <v>-20.44</v>
      </c>
    </row>
    <row r="78">
      <c r="A78" s="20" t="n">
        <v>46315.42913874088</v>
      </c>
      <c r="B78" s="12" t="n">
        <v>677.55</v>
      </c>
      <c r="C78" s="12" t="n">
        <v>700</v>
      </c>
      <c r="D78" s="12" t="n">
        <v>-22.45</v>
      </c>
      <c r="E78" s="12" t="n">
        <v>347.99</v>
      </c>
      <c r="F78" s="12" t="n">
        <v>318.46</v>
      </c>
      <c r="G78" s="12" t="n">
        <v>11.1</v>
      </c>
      <c r="H78" s="12" t="n">
        <v>-20.44</v>
      </c>
    </row>
    <row r="79">
      <c r="A79" s="20" t="n">
        <v>46315.47120554731</v>
      </c>
      <c r="B79" s="12" t="n">
        <v>679.01</v>
      </c>
      <c r="C79" s="12" t="n">
        <v>700</v>
      </c>
      <c r="D79" s="12" t="n">
        <v>-20.99</v>
      </c>
      <c r="E79" s="12" t="n">
        <v>349.45</v>
      </c>
      <c r="F79" s="12" t="n">
        <v>318.46</v>
      </c>
      <c r="G79" s="12" t="n">
        <v>11.1</v>
      </c>
      <c r="H79" s="12" t="n">
        <v>-20.44</v>
      </c>
    </row>
    <row r="80">
      <c r="A80" s="20" t="n">
        <v>46315.5120086784</v>
      </c>
      <c r="B80" s="12" t="n">
        <v>677.73</v>
      </c>
      <c r="C80" s="12" t="n">
        <v>700</v>
      </c>
      <c r="D80" s="12" t="n">
        <v>-22.27</v>
      </c>
      <c r="E80" s="12" t="n">
        <v>348.17</v>
      </c>
      <c r="F80" s="12" t="n">
        <v>318.46</v>
      </c>
      <c r="G80" s="12" t="n">
        <v>11.1</v>
      </c>
      <c r="H80" s="12" t="n">
        <v>-20.44</v>
      </c>
    </row>
    <row r="81">
      <c r="A81" s="20" t="n">
        <v>46315.55370191855</v>
      </c>
      <c r="B81" s="12" t="n">
        <v>675.96</v>
      </c>
      <c r="C81" s="12" t="n">
        <v>700</v>
      </c>
      <c r="D81" s="12" t="n">
        <v>-24.04</v>
      </c>
      <c r="E81" s="12" t="n">
        <v>346.4</v>
      </c>
      <c r="F81" s="12" t="n">
        <v>318.46</v>
      </c>
      <c r="G81" s="12" t="n">
        <v>11.1</v>
      </c>
      <c r="H81" s="12" t="n">
        <v>-20.44</v>
      </c>
    </row>
    <row r="82">
      <c r="A82" s="20" t="n">
        <v>46315.60438507557</v>
      </c>
      <c r="B82" s="12" t="n">
        <v>676.13</v>
      </c>
      <c r="C82" s="12" t="n">
        <v>700</v>
      </c>
      <c r="D82" s="12" t="n">
        <v>-23.87</v>
      </c>
      <c r="E82" s="12" t="n">
        <v>346.57</v>
      </c>
      <c r="F82" s="12" t="n">
        <v>318.46</v>
      </c>
      <c r="G82" s="12" t="n">
        <v>11.1</v>
      </c>
      <c r="H82" s="12" t="n">
        <v>-20.44</v>
      </c>
    </row>
    <row r="83">
      <c r="A83" s="20" t="n">
        <v>46315.63960934374</v>
      </c>
      <c r="B83" s="12" t="n">
        <v>675.0700000000001</v>
      </c>
      <c r="C83" s="12" t="n">
        <v>700</v>
      </c>
      <c r="D83" s="12" t="n">
        <v>-24.93</v>
      </c>
      <c r="E83" s="12" t="n">
        <v>345.51</v>
      </c>
      <c r="F83" s="12" t="n">
        <v>318.46</v>
      </c>
      <c r="G83" s="12" t="n">
        <v>11.1</v>
      </c>
      <c r="H83" s="12" t="n">
        <v>-20.44</v>
      </c>
    </row>
    <row r="84">
      <c r="A84" s="20" t="n">
        <v>46315.68112076772</v>
      </c>
      <c r="B84" s="12" t="n">
        <v>675.03</v>
      </c>
      <c r="C84" s="12" t="n">
        <v>700</v>
      </c>
      <c r="D84" s="12" t="n">
        <v>-24.97</v>
      </c>
      <c r="E84" s="12" t="n">
        <v>345.47</v>
      </c>
      <c r="F84" s="12" t="n">
        <v>318.46</v>
      </c>
      <c r="G84" s="12" t="n">
        <v>11.1</v>
      </c>
      <c r="H84" s="12" t="n">
        <v>-20.44</v>
      </c>
    </row>
    <row r="85">
      <c r="A85" s="20" t="n">
        <v>46315.71955936045</v>
      </c>
      <c r="B85" s="12" t="n">
        <v>674.7</v>
      </c>
      <c r="C85" s="12" t="n">
        <v>700</v>
      </c>
      <c r="D85" s="12" t="n">
        <v>-25.3</v>
      </c>
      <c r="E85" s="12" t="n">
        <v>345.14</v>
      </c>
      <c r="F85" s="12" t="n">
        <v>318.46</v>
      </c>
      <c r="G85" s="12" t="n">
        <v>11.1</v>
      </c>
      <c r="H85" s="12" t="n">
        <v>-20.44</v>
      </c>
    </row>
    <row r="86">
      <c r="A86" s="20" t="n">
        <v>46315.76272308858</v>
      </c>
      <c r="B86" s="12" t="n">
        <v>674.4400000000001</v>
      </c>
      <c r="C86" s="12" t="n">
        <v>700</v>
      </c>
      <c r="D86" s="12" t="n">
        <v>-25.56</v>
      </c>
      <c r="E86" s="12" t="n">
        <v>344.88</v>
      </c>
      <c r="F86" s="12" t="n">
        <v>318.46</v>
      </c>
      <c r="G86" s="12" t="n">
        <v>11.1</v>
      </c>
      <c r="H86" s="12" t="n">
        <v>-20.44</v>
      </c>
    </row>
    <row r="87">
      <c r="A87" s="20" t="n">
        <v>46315.80369903931</v>
      </c>
      <c r="B87" s="12" t="n">
        <v>674.27</v>
      </c>
      <c r="C87" s="12" t="n">
        <v>700</v>
      </c>
      <c r="D87" s="12" t="n">
        <v>-25.73</v>
      </c>
      <c r="E87" s="12" t="n">
        <v>344.71</v>
      </c>
      <c r="F87" s="12" t="n">
        <v>318.46</v>
      </c>
      <c r="G87" s="12" t="n">
        <v>11.1</v>
      </c>
      <c r="H87" s="12" t="n">
        <v>-20.44</v>
      </c>
    </row>
    <row r="88">
      <c r="A88" s="20" t="n">
        <v>46315.85429238435</v>
      </c>
      <c r="B88" s="12" t="n">
        <v>674.91</v>
      </c>
      <c r="C88" s="12" t="n">
        <v>700</v>
      </c>
      <c r="D88" s="12" t="n">
        <v>-25.09</v>
      </c>
      <c r="E88" s="12" t="n">
        <v>345.35</v>
      </c>
      <c r="F88" s="12" t="n">
        <v>318.46</v>
      </c>
      <c r="G88" s="12" t="n">
        <v>11.1</v>
      </c>
      <c r="H88" s="12" t="n">
        <v>-20.44</v>
      </c>
    </row>
    <row r="89">
      <c r="A89" s="20" t="n">
        <v>46315.89010118681</v>
      </c>
      <c r="B89" s="12" t="n">
        <v>684.1900000000001</v>
      </c>
      <c r="C89" s="12" t="n">
        <v>700</v>
      </c>
      <c r="D89" s="12" t="n">
        <v>-15.81</v>
      </c>
      <c r="E89" s="12" t="n">
        <v>354.63</v>
      </c>
      <c r="F89" s="12" t="n">
        <v>318.46</v>
      </c>
      <c r="G89" s="12" t="n">
        <v>11.1</v>
      </c>
      <c r="H89" s="12" t="n">
        <v>-20.44</v>
      </c>
    </row>
    <row r="90">
      <c r="A90" s="20" t="n">
        <v>46315.93164058964</v>
      </c>
      <c r="B90" s="12" t="n">
        <v>680.15</v>
      </c>
      <c r="C90" s="12" t="n">
        <v>700</v>
      </c>
      <c r="D90" s="12" t="n">
        <v>-19.85</v>
      </c>
      <c r="E90" s="12" t="n">
        <v>350.59</v>
      </c>
      <c r="F90" s="12" t="n">
        <v>318.46</v>
      </c>
      <c r="G90" s="12" t="n">
        <v>11.1</v>
      </c>
      <c r="H90" s="12" t="n">
        <v>-20.44</v>
      </c>
    </row>
    <row r="91">
      <c r="A91" s="20" t="n">
        <v>46315.97324024064</v>
      </c>
      <c r="B91" s="12" t="n">
        <v>680.03</v>
      </c>
      <c r="C91" s="12" t="n">
        <v>700</v>
      </c>
      <c r="D91" s="12" t="n">
        <v>-19.97</v>
      </c>
      <c r="E91" s="12" t="n">
        <v>350.47</v>
      </c>
      <c r="F91" s="12" t="n">
        <v>318.46</v>
      </c>
      <c r="G91" s="12" t="n">
        <v>11.1</v>
      </c>
      <c r="H91" s="12" t="n">
        <v>-20.44</v>
      </c>
    </row>
    <row r="92">
      <c r="A92" s="20" t="n">
        <v>46316.01587798242</v>
      </c>
      <c r="B92" s="12" t="n">
        <v>683.6799999999999</v>
      </c>
      <c r="C92" s="12" t="n">
        <v>700</v>
      </c>
      <c r="D92" s="12" t="n">
        <v>-16.32</v>
      </c>
      <c r="E92" s="12" t="n">
        <v>354.12</v>
      </c>
      <c r="F92" s="12" t="n">
        <v>318.46</v>
      </c>
      <c r="G92" s="12" t="n">
        <v>11.1</v>
      </c>
      <c r="H92" s="12" t="n">
        <v>-20.44</v>
      </c>
    </row>
    <row r="93">
      <c r="A93" s="20" t="n">
        <v>46316.05408452128</v>
      </c>
      <c r="B93" s="12" t="n">
        <v>683.1799999999999</v>
      </c>
      <c r="C93" s="12" t="n">
        <v>700</v>
      </c>
      <c r="D93" s="12" t="n">
        <v>-16.82</v>
      </c>
      <c r="E93" s="12" t="n">
        <v>353.62</v>
      </c>
      <c r="F93" s="12" t="n">
        <v>318.46</v>
      </c>
      <c r="G93" s="12" t="n">
        <v>11.1</v>
      </c>
      <c r="H93" s="12" t="n">
        <v>-20.44</v>
      </c>
    </row>
    <row r="94">
      <c r="A94" s="20" t="n">
        <v>46316.09991199541</v>
      </c>
      <c r="B94" s="12" t="n">
        <v>680.73</v>
      </c>
      <c r="C94" s="12" t="n">
        <v>700</v>
      </c>
      <c r="D94" s="12" t="n">
        <v>-19.27</v>
      </c>
      <c r="E94" s="12" t="n">
        <v>351.17</v>
      </c>
      <c r="F94" s="12" t="n">
        <v>318.46</v>
      </c>
      <c r="G94" s="12" t="n">
        <v>11.1</v>
      </c>
      <c r="H94" s="12" t="n">
        <v>-20.44</v>
      </c>
    </row>
    <row r="95">
      <c r="A95" s="20" t="n">
        <v>46316.13568923147</v>
      </c>
      <c r="B95" s="12" t="n">
        <v>682.5</v>
      </c>
      <c r="C95" s="12" t="n">
        <v>700</v>
      </c>
      <c r="D95" s="12" t="n">
        <v>-17.5</v>
      </c>
      <c r="E95" s="12" t="n">
        <v>352.94</v>
      </c>
      <c r="F95" s="12" t="n">
        <v>318.46</v>
      </c>
      <c r="G95" s="12" t="n">
        <v>11.1</v>
      </c>
      <c r="H95" s="12" t="n">
        <v>-20.44</v>
      </c>
    </row>
    <row r="96">
      <c r="A96" s="20" t="n">
        <v>46316.17944853924</v>
      </c>
      <c r="B96" s="12" t="n">
        <v>685.02</v>
      </c>
      <c r="C96" s="12" t="n">
        <v>700</v>
      </c>
      <c r="D96" s="12" t="n">
        <v>-14.98</v>
      </c>
      <c r="E96" s="12" t="n">
        <v>355.46</v>
      </c>
      <c r="F96" s="12" t="n">
        <v>318.46</v>
      </c>
      <c r="G96" s="12" t="n">
        <v>11.1</v>
      </c>
      <c r="H96" s="12" t="n">
        <v>-20.44</v>
      </c>
    </row>
    <row r="97">
      <c r="A97" s="20" t="n">
        <v>46316.22015805248</v>
      </c>
      <c r="B97" s="12" t="n">
        <v>685.76</v>
      </c>
      <c r="C97" s="12" t="n">
        <v>700</v>
      </c>
      <c r="D97" s="12" t="n">
        <v>-14.24</v>
      </c>
      <c r="E97" s="12" t="n">
        <v>356.2</v>
      </c>
      <c r="F97" s="12" t="n">
        <v>318.46</v>
      </c>
      <c r="G97" s="12" t="n">
        <v>11.1</v>
      </c>
      <c r="H97" s="12" t="n">
        <v>-20.44</v>
      </c>
    </row>
    <row r="98">
      <c r="A98" s="20" t="n">
        <v>46316.26023157458</v>
      </c>
      <c r="B98" s="12" t="n">
        <v>684.36</v>
      </c>
      <c r="C98" s="12" t="n">
        <v>700</v>
      </c>
      <c r="D98" s="12" t="n">
        <v>-15.64</v>
      </c>
      <c r="E98" s="12" t="n">
        <v>354.8</v>
      </c>
      <c r="F98" s="12" t="n">
        <v>318.46</v>
      </c>
      <c r="G98" s="12" t="n">
        <v>11.1</v>
      </c>
      <c r="H98" s="12" t="n">
        <v>-20.44</v>
      </c>
    </row>
    <row r="99">
      <c r="A99" s="20" t="n">
        <v>46316.29974007634</v>
      </c>
      <c r="B99" s="12" t="n">
        <v>684.59</v>
      </c>
      <c r="C99" s="12" t="n">
        <v>700</v>
      </c>
      <c r="D99" s="12" t="n">
        <v>-15.41</v>
      </c>
      <c r="E99" s="12" t="n">
        <v>355.03</v>
      </c>
      <c r="F99" s="12" t="n">
        <v>318.46</v>
      </c>
      <c r="G99" s="12" t="n">
        <v>11.1</v>
      </c>
      <c r="H99" s="12" t="n">
        <v>-20.44</v>
      </c>
    </row>
    <row r="100">
      <c r="A100" s="20" t="n">
        <v>46316.35165220596</v>
      </c>
      <c r="B100" s="12" t="n">
        <v>685.48</v>
      </c>
      <c r="C100" s="12" t="n">
        <v>700</v>
      </c>
      <c r="D100" s="12" t="n">
        <v>-14.52</v>
      </c>
      <c r="E100" s="12" t="n">
        <v>355.92</v>
      </c>
      <c r="F100" s="12" t="n">
        <v>318.46</v>
      </c>
      <c r="G100" s="12" t="n">
        <v>11.1</v>
      </c>
      <c r="H100" s="12" t="n">
        <v>-20.44</v>
      </c>
    </row>
    <row r="101">
      <c r="A101" s="20" t="n">
        <v>46316.38706840168</v>
      </c>
      <c r="B101" s="12" t="n">
        <v>685.46</v>
      </c>
      <c r="C101" s="12" t="n">
        <v>700</v>
      </c>
      <c r="D101" s="12" t="n">
        <v>-14.54</v>
      </c>
      <c r="E101" s="12" t="n">
        <v>355.9</v>
      </c>
      <c r="F101" s="12" t="n">
        <v>318.46</v>
      </c>
      <c r="G101" s="12" t="n">
        <v>11.1</v>
      </c>
      <c r="H101" s="12" t="n">
        <v>-20.44</v>
      </c>
    </row>
    <row r="102">
      <c r="A102" s="20" t="n">
        <v>46316.42957783464</v>
      </c>
      <c r="B102" s="12" t="n">
        <v>685.71</v>
      </c>
      <c r="C102" s="12" t="n">
        <v>700</v>
      </c>
      <c r="D102" s="12" t="n">
        <v>-14.29</v>
      </c>
      <c r="E102" s="12" t="n">
        <v>356.15</v>
      </c>
      <c r="F102" s="12" t="n">
        <v>318.46</v>
      </c>
      <c r="G102" s="12" t="n">
        <v>11.1</v>
      </c>
      <c r="H102" s="12" t="n">
        <v>-20.44</v>
      </c>
    </row>
    <row r="103">
      <c r="A103" s="20" t="n">
        <v>46316.47234153017</v>
      </c>
      <c r="B103" s="12" t="n">
        <v>685.0700000000001</v>
      </c>
      <c r="C103" s="12" t="n">
        <v>700</v>
      </c>
      <c r="D103" s="12" t="n">
        <v>-14.93</v>
      </c>
      <c r="E103" s="12" t="n">
        <v>355.51</v>
      </c>
      <c r="F103" s="12" t="n">
        <v>318.46</v>
      </c>
      <c r="G103" s="12" t="n">
        <v>11.1</v>
      </c>
      <c r="H103" s="12" t="n">
        <v>-20.44</v>
      </c>
    </row>
    <row r="104">
      <c r="A104" s="20" t="n">
        <v>46316.51296269301</v>
      </c>
      <c r="B104" s="12" t="n">
        <v>685.5599999999999</v>
      </c>
      <c r="C104" s="12" t="n">
        <v>700</v>
      </c>
      <c r="D104" s="12" t="n">
        <v>-14.44</v>
      </c>
      <c r="E104" s="12" t="n">
        <v>356</v>
      </c>
      <c r="F104" s="12" t="n">
        <v>318.46</v>
      </c>
      <c r="G104" s="12" t="n">
        <v>11.1</v>
      </c>
      <c r="H104" s="12" t="n">
        <v>-20.44</v>
      </c>
    </row>
    <row r="105">
      <c r="A105" s="20" t="n">
        <v>46316.5547180738</v>
      </c>
      <c r="B105" s="12" t="n">
        <v>684.71</v>
      </c>
      <c r="C105" s="12" t="n">
        <v>700</v>
      </c>
      <c r="D105" s="12" t="n">
        <v>-15.29</v>
      </c>
      <c r="E105" s="12" t="n">
        <v>355.15</v>
      </c>
      <c r="F105" s="12" t="n">
        <v>318.46</v>
      </c>
      <c r="G105" s="12" t="n">
        <v>11.1</v>
      </c>
      <c r="H105" s="12" t="n">
        <v>-20.44</v>
      </c>
    </row>
    <row r="106">
      <c r="A106" s="20" t="n">
        <v>46316.60605886331</v>
      </c>
      <c r="B106" s="12" t="n">
        <v>688.6</v>
      </c>
      <c r="C106" s="12" t="n">
        <v>700</v>
      </c>
      <c r="D106" s="12" t="n">
        <v>-11.4</v>
      </c>
      <c r="E106" s="12" t="n">
        <v>359.04</v>
      </c>
      <c r="F106" s="12" t="n">
        <v>318.46</v>
      </c>
      <c r="G106" s="12" t="n">
        <v>11.1</v>
      </c>
      <c r="H106" s="12" t="n">
        <v>-20.44</v>
      </c>
    </row>
    <row r="107">
      <c r="A107" s="20" t="n">
        <v>46316.6412825973</v>
      </c>
      <c r="B107" s="12" t="n">
        <v>687.91</v>
      </c>
      <c r="C107" s="12" t="n">
        <v>700</v>
      </c>
      <c r="D107" s="12" t="n">
        <v>-12.09</v>
      </c>
      <c r="E107" s="12" t="n">
        <v>358.35</v>
      </c>
      <c r="F107" s="12" t="n">
        <v>318.46</v>
      </c>
      <c r="G107" s="12" t="n">
        <v>11.1</v>
      </c>
      <c r="H107" s="12" t="n">
        <v>-20.44</v>
      </c>
    </row>
    <row r="108">
      <c r="A108" s="20" t="n">
        <v>46316.6830037312</v>
      </c>
      <c r="B108" s="12" t="n">
        <v>690.66</v>
      </c>
      <c r="C108" s="12" t="n">
        <v>700</v>
      </c>
      <c r="D108" s="12" t="n">
        <v>-9.34</v>
      </c>
      <c r="E108" s="12" t="n">
        <v>308.15</v>
      </c>
      <c r="F108" s="12" t="n">
        <v>368.46</v>
      </c>
      <c r="G108" s="12" t="n">
        <v>14.05</v>
      </c>
      <c r="H108" s="12" t="n">
        <v>-17.49</v>
      </c>
    </row>
    <row r="109">
      <c r="A109" s="20" t="n">
        <v>46316.72249745239</v>
      </c>
      <c r="B109" s="12" t="n">
        <v>688.88</v>
      </c>
      <c r="C109" s="12" t="n">
        <v>700</v>
      </c>
      <c r="D109" s="12" t="n">
        <v>-11.12</v>
      </c>
      <c r="E109" s="12" t="n">
        <v>306.37</v>
      </c>
      <c r="F109" s="12" t="n">
        <v>368.46</v>
      </c>
      <c r="G109" s="12" t="n">
        <v>14.05</v>
      </c>
      <c r="H109" s="12" t="n">
        <v>-17.49</v>
      </c>
    </row>
    <row r="110">
      <c r="A110" s="20" t="n">
        <v>46316.76342657491</v>
      </c>
      <c r="B110" s="12" t="n">
        <v>690.5</v>
      </c>
      <c r="C110" s="12" t="n">
        <v>700</v>
      </c>
      <c r="D110" s="12" t="n">
        <v>-9.5</v>
      </c>
      <c r="E110" s="12" t="n">
        <v>307.99</v>
      </c>
      <c r="F110" s="12" t="n">
        <v>368.46</v>
      </c>
      <c r="G110" s="12" t="n">
        <v>14.05</v>
      </c>
      <c r="H110" s="12" t="n">
        <v>-17.49</v>
      </c>
    </row>
    <row r="111">
      <c r="A111" s="20" t="n">
        <v>46316.80528102122</v>
      </c>
      <c r="B111" s="12" t="n">
        <v>690.78</v>
      </c>
      <c r="C111" s="12" t="n">
        <v>700</v>
      </c>
      <c r="D111" s="12" t="n">
        <v>-9.220000000000001</v>
      </c>
      <c r="E111" s="12" t="n">
        <v>308.27</v>
      </c>
      <c r="F111" s="12" t="n">
        <v>368.46</v>
      </c>
      <c r="G111" s="12" t="n">
        <v>14.05</v>
      </c>
      <c r="H111" s="12" t="n">
        <v>-17.49</v>
      </c>
    </row>
    <row r="112">
      <c r="A112" s="20" t="n">
        <v>46316.81348026328</v>
      </c>
      <c r="B112" s="12" t="n">
        <v>1500.33</v>
      </c>
      <c r="C112" s="12" t="n">
        <v>1482.71</v>
      </c>
      <c r="D112" s="12" t="n">
        <v>17.62</v>
      </c>
      <c r="E112" s="12" t="n">
        <v>1500.33</v>
      </c>
      <c r="F112" s="12" t="n">
        <v>0</v>
      </c>
      <c r="G112" s="12" t="n">
        <v>0</v>
      </c>
      <c r="H112" s="12" t="n">
        <v>-17.49</v>
      </c>
    </row>
    <row r="113">
      <c r="A113" s="20" t="n">
        <v>46316.8206262786</v>
      </c>
      <c r="B113" s="12" t="n">
        <v>1495.63</v>
      </c>
      <c r="C113" s="12" t="n">
        <v>1482.71</v>
      </c>
      <c r="D113" s="12" t="n">
        <v>12.92</v>
      </c>
      <c r="E113" s="12" t="n">
        <v>1493.08</v>
      </c>
      <c r="F113" s="12" t="n">
        <v>2.55</v>
      </c>
      <c r="G113" s="12" t="n">
        <v>0</v>
      </c>
      <c r="H113" s="12" t="n">
        <v>-14.94</v>
      </c>
    </row>
    <row r="114">
      <c r="A114" s="20" t="n">
        <v>46316.8540164109</v>
      </c>
      <c r="B114" s="12" t="n">
        <v>1525.19</v>
      </c>
      <c r="C114" s="12" t="n">
        <v>1482.71</v>
      </c>
      <c r="D114" s="12" t="n">
        <v>42.48</v>
      </c>
      <c r="E114" s="12" t="n">
        <v>1504.8</v>
      </c>
      <c r="F114" s="12" t="n">
        <v>20.39</v>
      </c>
      <c r="G114" s="12" t="n">
        <v>0</v>
      </c>
      <c r="H114" s="12" t="n">
        <v>2.9</v>
      </c>
    </row>
    <row r="115">
      <c r="A115" s="20" t="n">
        <v>46316.89103734084</v>
      </c>
      <c r="B115" s="12" t="n">
        <v>1520.77</v>
      </c>
      <c r="C115" s="12" t="n">
        <v>1482.71</v>
      </c>
      <c r="D115" s="12" t="n">
        <v>38.06</v>
      </c>
      <c r="E115" s="12" t="n">
        <v>1520.77</v>
      </c>
      <c r="F115" s="12" t="n">
        <v>0</v>
      </c>
      <c r="G115" s="12" t="n">
        <v>0</v>
      </c>
      <c r="H115" s="12" t="n">
        <v>2.9</v>
      </c>
    </row>
    <row r="116">
      <c r="A116" s="20" t="n">
        <v>46316.93088120606</v>
      </c>
      <c r="B116" s="12" t="n">
        <v>1531.45</v>
      </c>
      <c r="C116" s="12" t="n">
        <v>1482.71</v>
      </c>
      <c r="D116" s="12" t="n">
        <v>48.74</v>
      </c>
      <c r="E116" s="12" t="n">
        <v>1531.45</v>
      </c>
      <c r="F116" s="12" t="n">
        <v>0</v>
      </c>
      <c r="G116" s="12" t="n">
        <v>0</v>
      </c>
      <c r="H116" s="12" t="n">
        <v>2.9</v>
      </c>
    </row>
    <row r="117">
      <c r="A117" s="20" t="n">
        <v>46316.97257893358</v>
      </c>
      <c r="B117" s="12" t="n">
        <v>1536.73</v>
      </c>
      <c r="C117" s="12" t="n">
        <v>1482.71</v>
      </c>
      <c r="D117" s="12" t="n">
        <v>54.02</v>
      </c>
      <c r="E117" s="12" t="n">
        <v>1536.73</v>
      </c>
      <c r="F117" s="12" t="n">
        <v>0</v>
      </c>
      <c r="G117" s="12" t="n">
        <v>0</v>
      </c>
      <c r="H117" s="12" t="n">
        <v>2.9</v>
      </c>
    </row>
    <row r="118">
      <c r="A118" s="20" t="n">
        <v>46317.01352230924</v>
      </c>
      <c r="B118" s="12" t="n">
        <v>1534.68</v>
      </c>
      <c r="C118" s="12" t="n">
        <v>1482.71</v>
      </c>
      <c r="D118" s="12" t="n">
        <v>51.97</v>
      </c>
      <c r="E118" s="12" t="n">
        <v>1534.68</v>
      </c>
      <c r="F118" s="12" t="n">
        <v>0</v>
      </c>
      <c r="G118" s="12" t="n">
        <v>0</v>
      </c>
      <c r="H118" s="12" t="n">
        <v>2.9</v>
      </c>
    </row>
    <row r="119">
      <c r="A119" s="20" t="n">
        <v>46317.10000299908</v>
      </c>
      <c r="B119" s="12" t="n">
        <v>1536.13</v>
      </c>
      <c r="C119" s="12" t="n">
        <v>1482.71</v>
      </c>
      <c r="D119" s="12" t="n">
        <v>53.42</v>
      </c>
      <c r="E119" s="12" t="n">
        <v>1536.13</v>
      </c>
      <c r="F119" s="12" t="n">
        <v>0</v>
      </c>
      <c r="G119" s="12" t="n">
        <v>0</v>
      </c>
      <c r="H119" s="12" t="n">
        <v>2.9</v>
      </c>
    </row>
    <row r="120">
      <c r="A120" s="20" t="n">
        <v>46317.13578810537</v>
      </c>
      <c r="B120" s="12" t="n">
        <v>1538.35</v>
      </c>
      <c r="C120" s="12" t="n">
        <v>1482.71</v>
      </c>
      <c r="D120" s="12" t="n">
        <v>55.64</v>
      </c>
      <c r="E120" s="12" t="n">
        <v>1538.35</v>
      </c>
      <c r="F120" s="12" t="n">
        <v>0</v>
      </c>
      <c r="G120" s="12" t="n">
        <v>0</v>
      </c>
      <c r="H120" s="12" t="n">
        <v>2.9</v>
      </c>
    </row>
    <row r="121">
      <c r="A121" s="20" t="n">
        <v>46317.17901970457</v>
      </c>
      <c r="B121" s="12" t="n">
        <v>1539.18</v>
      </c>
      <c r="C121" s="12" t="n">
        <v>1482.71</v>
      </c>
      <c r="D121" s="12" t="n">
        <v>56.47</v>
      </c>
      <c r="E121" s="12" t="n">
        <v>1539.18</v>
      </c>
      <c r="F121" s="12" t="n">
        <v>0</v>
      </c>
      <c r="G121" s="12" t="n">
        <v>0</v>
      </c>
      <c r="H121" s="12" t="n">
        <v>2.9</v>
      </c>
    </row>
    <row r="122">
      <c r="A122" s="20" t="n">
        <v>46317.21966300264</v>
      </c>
      <c r="B122" s="12" t="n">
        <v>1538.27</v>
      </c>
      <c r="C122" s="12" t="n">
        <v>1482.71</v>
      </c>
      <c r="D122" s="12" t="n">
        <v>55.56</v>
      </c>
      <c r="E122" s="12" t="n">
        <v>1538.27</v>
      </c>
      <c r="F122" s="12" t="n">
        <v>0</v>
      </c>
      <c r="G122" s="12" t="n">
        <v>0</v>
      </c>
      <c r="H122" s="12" t="n">
        <v>2.9</v>
      </c>
    </row>
    <row r="123">
      <c r="A123" s="20" t="n">
        <v>46317.25964889122</v>
      </c>
      <c r="B123" s="12" t="n">
        <v>1531.19</v>
      </c>
      <c r="C123" s="12" t="n">
        <v>1482.71</v>
      </c>
      <c r="D123" s="12" t="n">
        <v>48.48</v>
      </c>
      <c r="E123" s="12" t="n">
        <v>1531.19</v>
      </c>
      <c r="F123" s="12" t="n">
        <v>0</v>
      </c>
      <c r="G123" s="12" t="n">
        <v>0</v>
      </c>
      <c r="H123" s="12" t="n">
        <v>2.9</v>
      </c>
    </row>
    <row r="124">
      <c r="A124" s="20" t="n">
        <v>46317.29954445801</v>
      </c>
      <c r="B124" s="12" t="n">
        <v>1530.1</v>
      </c>
      <c r="C124" s="12" t="n">
        <v>1482.71</v>
      </c>
      <c r="D124" s="12" t="n">
        <v>47.39</v>
      </c>
      <c r="E124" s="12" t="n">
        <v>1530.1</v>
      </c>
      <c r="F124" s="12" t="n">
        <v>0</v>
      </c>
      <c r="G124" s="12" t="n">
        <v>0</v>
      </c>
      <c r="H124" s="12" t="n">
        <v>2.9</v>
      </c>
    </row>
    <row r="125">
      <c r="A125" s="20" t="n">
        <v>46317.35056756984</v>
      </c>
      <c r="B125" s="12" t="n">
        <v>1528.17</v>
      </c>
      <c r="C125" s="12" t="n">
        <v>1482.71</v>
      </c>
      <c r="D125" s="12" t="n">
        <v>45.46</v>
      </c>
      <c r="E125" s="12" t="n">
        <v>1528.17</v>
      </c>
      <c r="F125" s="12" t="n">
        <v>0</v>
      </c>
      <c r="G125" s="12" t="n">
        <v>0</v>
      </c>
      <c r="H125" s="12" t="n">
        <v>2.9</v>
      </c>
    </row>
    <row r="126">
      <c r="A126" s="20" t="n">
        <v>46317.38749914941</v>
      </c>
      <c r="B126" s="12" t="n">
        <v>1508.75</v>
      </c>
      <c r="C126" s="12" t="n">
        <v>1482.71</v>
      </c>
      <c r="D126" s="12" t="n">
        <v>26.04</v>
      </c>
      <c r="E126" s="12" t="n">
        <v>1508.75</v>
      </c>
      <c r="F126" s="12" t="n">
        <v>0</v>
      </c>
      <c r="G126" s="12" t="n">
        <v>0</v>
      </c>
      <c r="H126" s="12" t="n">
        <v>2.9</v>
      </c>
    </row>
    <row r="127">
      <c r="A127" s="20" t="n">
        <v>46317.42949189285</v>
      </c>
      <c r="B127" s="12" t="n">
        <v>1498.64</v>
      </c>
      <c r="C127" s="12" t="n">
        <v>1482.71</v>
      </c>
      <c r="D127" s="12" t="n">
        <v>15.93</v>
      </c>
      <c r="E127" s="12" t="n">
        <v>1498.64</v>
      </c>
      <c r="F127" s="12" t="n">
        <v>0</v>
      </c>
      <c r="G127" s="12" t="n">
        <v>0</v>
      </c>
      <c r="H127" s="12" t="n">
        <v>2.9</v>
      </c>
    </row>
    <row r="128">
      <c r="A128" s="20" t="n">
        <v>46317.47304413399</v>
      </c>
      <c r="B128" s="12" t="n">
        <v>1503.22</v>
      </c>
      <c r="C128" s="12" t="n">
        <v>1482.71</v>
      </c>
      <c r="D128" s="12" t="n">
        <v>20.51</v>
      </c>
      <c r="E128" s="12" t="n">
        <v>1503.22</v>
      </c>
      <c r="F128" s="12" t="n">
        <v>0</v>
      </c>
      <c r="G128" s="12" t="n">
        <v>0</v>
      </c>
      <c r="H128" s="12" t="n">
        <v>2.9</v>
      </c>
    </row>
    <row r="129">
      <c r="A129" s="20" t="n">
        <v>46317.51390217985</v>
      </c>
      <c r="B129" s="12" t="n">
        <v>1490.89</v>
      </c>
      <c r="C129" s="12" t="n">
        <v>1482.71</v>
      </c>
      <c r="D129" s="12" t="n">
        <v>8.18</v>
      </c>
      <c r="E129" s="12" t="n">
        <v>1490.89</v>
      </c>
      <c r="F129" s="12" t="n">
        <v>0</v>
      </c>
      <c r="G129" s="12" t="n">
        <v>0</v>
      </c>
      <c r="H129" s="12" t="n">
        <v>2.9</v>
      </c>
    </row>
    <row r="130">
      <c r="A130" s="20" t="n">
        <v>46317.5557771039</v>
      </c>
      <c r="B130" s="12" t="n">
        <v>1487.29</v>
      </c>
      <c r="C130" s="12" t="n">
        <v>1482.71</v>
      </c>
      <c r="D130" s="12" t="n">
        <v>4.58</v>
      </c>
      <c r="E130" s="12" t="n">
        <v>1487.29</v>
      </c>
      <c r="F130" s="12" t="n">
        <v>0</v>
      </c>
      <c r="G130" s="12" t="n">
        <v>0</v>
      </c>
      <c r="H130" s="12" t="n">
        <v>2.9</v>
      </c>
    </row>
    <row r="131">
      <c r="A131" s="20" t="n">
        <v>46317.60640474111</v>
      </c>
      <c r="B131" s="12" t="n">
        <v>1478.57</v>
      </c>
      <c r="C131" s="12" t="n">
        <v>1482.71</v>
      </c>
      <c r="D131" s="12" t="n">
        <v>-4.14</v>
      </c>
      <c r="E131" s="12" t="n">
        <v>1478.57</v>
      </c>
      <c r="F131" s="12" t="n">
        <v>0</v>
      </c>
      <c r="G131" s="12" t="n">
        <v>0</v>
      </c>
      <c r="H131" s="12" t="n">
        <v>2.9</v>
      </c>
    </row>
    <row r="132">
      <c r="A132" s="20" t="n">
        <v>46317.64303153034</v>
      </c>
      <c r="B132" s="12" t="n">
        <v>1470.54</v>
      </c>
      <c r="C132" s="12" t="n">
        <v>1482.71</v>
      </c>
      <c r="D132" s="12" t="n">
        <v>-12.17</v>
      </c>
      <c r="E132" s="12" t="n">
        <v>1470.54</v>
      </c>
      <c r="F132" s="12" t="n">
        <v>0</v>
      </c>
      <c r="G132" s="12" t="n">
        <v>0</v>
      </c>
      <c r="H132" s="12" t="n">
        <v>2.9</v>
      </c>
    </row>
    <row r="133">
      <c r="A133" s="20" t="n">
        <v>46317.68269178323</v>
      </c>
      <c r="B133" s="12" t="n">
        <v>1469.98</v>
      </c>
      <c r="C133" s="12" t="n">
        <v>1482.71</v>
      </c>
      <c r="D133" s="12" t="n">
        <v>-12.73</v>
      </c>
      <c r="E133" s="12" t="n">
        <v>1469.98</v>
      </c>
      <c r="F133" s="12" t="n">
        <v>0</v>
      </c>
      <c r="G133" s="12" t="n">
        <v>0</v>
      </c>
      <c r="H133" s="12" t="n">
        <v>2.9</v>
      </c>
    </row>
    <row r="134">
      <c r="A134" s="20" t="n">
        <v>46317.72395855356</v>
      </c>
      <c r="B134" s="12" t="n">
        <v>1475.4</v>
      </c>
      <c r="C134" s="12" t="n">
        <v>1482.71</v>
      </c>
      <c r="D134" s="12" t="n">
        <v>-7.31</v>
      </c>
      <c r="E134" s="12" t="n">
        <v>1475.4</v>
      </c>
      <c r="F134" s="12" t="n">
        <v>0</v>
      </c>
      <c r="G134" s="12" t="n">
        <v>0</v>
      </c>
      <c r="H134" s="12" t="n">
        <v>2.9</v>
      </c>
    </row>
    <row r="135">
      <c r="A135" s="20" t="n">
        <v>46317.76340007387</v>
      </c>
      <c r="B135" s="12" t="n">
        <v>1475.41</v>
      </c>
      <c r="C135" s="12" t="n">
        <v>1482.71</v>
      </c>
      <c r="D135" s="12" t="n">
        <v>-7.3</v>
      </c>
      <c r="E135" s="12" t="n">
        <v>1475.41</v>
      </c>
      <c r="F135" s="12" t="n">
        <v>0</v>
      </c>
      <c r="G135" s="12" t="n">
        <v>0</v>
      </c>
      <c r="H135" s="12" t="n">
        <v>2.9</v>
      </c>
    </row>
    <row r="136">
      <c r="A136" s="20" t="n">
        <v>46317.80609714881</v>
      </c>
      <c r="B136" s="12" t="n">
        <v>1475.07</v>
      </c>
      <c r="C136" s="12" t="n">
        <v>1482.71</v>
      </c>
      <c r="D136" s="12" t="n">
        <v>-7.64</v>
      </c>
      <c r="E136" s="12" t="n">
        <v>1475.07</v>
      </c>
      <c r="F136" s="12" t="n">
        <v>0</v>
      </c>
      <c r="G136" s="12" t="n">
        <v>0</v>
      </c>
      <c r="H136" s="12" t="n">
        <v>2.9</v>
      </c>
    </row>
    <row r="137">
      <c r="A137" s="20" t="n">
        <v>46317.8564708554</v>
      </c>
      <c r="B137" s="12" t="n">
        <v>1471.24</v>
      </c>
      <c r="C137" s="12" t="n">
        <v>1482.71</v>
      </c>
      <c r="D137" s="12" t="n">
        <v>-11.47</v>
      </c>
      <c r="E137" s="12" t="n">
        <v>1471.24</v>
      </c>
      <c r="F137" s="12" t="n">
        <v>0</v>
      </c>
      <c r="G137" s="12" t="n">
        <v>0</v>
      </c>
      <c r="H137" s="12" t="n">
        <v>2.9</v>
      </c>
    </row>
    <row r="138">
      <c r="A138" s="20" t="n">
        <v>46317.89176164103</v>
      </c>
      <c r="B138" s="12" t="n">
        <v>1472.34</v>
      </c>
      <c r="C138" s="12" t="n">
        <v>1482.71</v>
      </c>
      <c r="D138" s="12" t="n">
        <v>-10.37</v>
      </c>
      <c r="E138" s="12" t="n">
        <v>1472.34</v>
      </c>
      <c r="F138" s="12" t="n">
        <v>0</v>
      </c>
      <c r="G138" s="12" t="n">
        <v>0</v>
      </c>
      <c r="H138" s="12" t="n">
        <v>2.9</v>
      </c>
    </row>
    <row r="139">
      <c r="A139" s="20" t="n">
        <v>46317.93264642417</v>
      </c>
      <c r="B139" s="12" t="n">
        <v>1464.9</v>
      </c>
      <c r="C139" s="12" t="n">
        <v>1482.71</v>
      </c>
      <c r="D139" s="12" t="n">
        <v>-17.81</v>
      </c>
      <c r="E139" s="12" t="n">
        <v>1464.9</v>
      </c>
      <c r="F139" s="12" t="n">
        <v>0</v>
      </c>
      <c r="G139" s="12" t="n">
        <v>0</v>
      </c>
      <c r="H139" s="12" t="n">
        <v>2.9</v>
      </c>
    </row>
    <row r="140">
      <c r="A140" s="20" t="n">
        <v>46317.97334104007</v>
      </c>
      <c r="B140" s="12" t="n">
        <v>1467.78</v>
      </c>
      <c r="C140" s="12" t="n">
        <v>1482.71</v>
      </c>
      <c r="D140" s="12" t="n">
        <v>-14.93</v>
      </c>
      <c r="E140" s="12" t="n">
        <v>1467.78</v>
      </c>
      <c r="F140" s="12" t="n">
        <v>0</v>
      </c>
      <c r="G140" s="12" t="n">
        <v>0</v>
      </c>
      <c r="H140" s="12" t="n">
        <v>2.9</v>
      </c>
    </row>
    <row r="141">
      <c r="A141" s="20" t="n">
        <v>46318.01274921469</v>
      </c>
      <c r="B141" s="12" t="n">
        <v>1457.45</v>
      </c>
      <c r="C141" s="12" t="n">
        <v>1482.71</v>
      </c>
      <c r="D141" s="12" t="n">
        <v>-25.26</v>
      </c>
      <c r="E141" s="12" t="n">
        <v>1457.45</v>
      </c>
      <c r="F141" s="12" t="n">
        <v>0</v>
      </c>
      <c r="G141" s="12" t="n">
        <v>0</v>
      </c>
      <c r="H141" s="12" t="n">
        <v>2.9</v>
      </c>
    </row>
    <row r="142">
      <c r="A142" s="20" t="n">
        <v>46318.0530451617</v>
      </c>
      <c r="B142" s="12" t="n">
        <v>1451.72</v>
      </c>
      <c r="C142" s="12" t="n">
        <v>1482.71</v>
      </c>
      <c r="D142" s="12" t="n">
        <v>-30.99</v>
      </c>
      <c r="E142" s="12" t="n">
        <v>1451.72</v>
      </c>
      <c r="F142" s="12" t="n">
        <v>0</v>
      </c>
      <c r="G142" s="12" t="n">
        <v>0</v>
      </c>
      <c r="H142" s="12" t="n">
        <v>2.9</v>
      </c>
    </row>
    <row r="143">
      <c r="A143" s="20" t="n">
        <v>46318.10007394973</v>
      </c>
      <c r="B143" s="12" t="n">
        <v>1457.97</v>
      </c>
      <c r="C143" s="12" t="n">
        <v>1482.71</v>
      </c>
      <c r="D143" s="12" t="n">
        <v>-24.74</v>
      </c>
      <c r="E143" s="12" t="n">
        <v>1457.97</v>
      </c>
      <c r="F143" s="12" t="n">
        <v>0</v>
      </c>
      <c r="G143" s="12" t="n">
        <v>0</v>
      </c>
      <c r="H143" s="12" t="n">
        <v>2.9</v>
      </c>
    </row>
    <row r="144">
      <c r="A144" s="20" t="n">
        <v>46318.13708985249</v>
      </c>
      <c r="B144" s="12" t="n">
        <v>1457.41</v>
      </c>
      <c r="C144" s="12" t="n">
        <v>1482.71</v>
      </c>
      <c r="D144" s="12" t="n">
        <v>-25.3</v>
      </c>
      <c r="E144" s="12" t="n">
        <v>1457.41</v>
      </c>
      <c r="F144" s="12" t="n">
        <v>0</v>
      </c>
      <c r="G144" s="12" t="n">
        <v>0</v>
      </c>
      <c r="H144" s="12" t="n">
        <v>2.9</v>
      </c>
    </row>
    <row r="145">
      <c r="A145" s="20" t="n">
        <v>46318.18003841893</v>
      </c>
      <c r="B145" s="12" t="n">
        <v>1460.94</v>
      </c>
      <c r="C145" s="12" t="n">
        <v>1482.71</v>
      </c>
      <c r="D145" s="12" t="n">
        <v>-21.77</v>
      </c>
      <c r="E145" s="12" t="n">
        <v>1460.94</v>
      </c>
      <c r="F145" s="12" t="n">
        <v>0</v>
      </c>
      <c r="G145" s="12" t="n">
        <v>0</v>
      </c>
      <c r="H145" s="12" t="n">
        <v>2.9</v>
      </c>
    </row>
    <row r="146">
      <c r="A146" s="20" t="n">
        <v>46318.22020104498</v>
      </c>
      <c r="B146" s="12" t="n">
        <v>1459.18</v>
      </c>
      <c r="C146" s="12" t="n">
        <v>1482.71</v>
      </c>
      <c r="D146" s="12" t="n">
        <v>-23.53</v>
      </c>
      <c r="E146" s="12" t="n">
        <v>1459.18</v>
      </c>
      <c r="F146" s="12" t="n">
        <v>0</v>
      </c>
      <c r="G146" s="12" t="n">
        <v>0</v>
      </c>
      <c r="H146" s="12" t="n">
        <v>2.9</v>
      </c>
    </row>
    <row r="147">
      <c r="A147" s="20" t="n">
        <v>46318.26159802193</v>
      </c>
      <c r="B147" s="12" t="n">
        <v>1454.88</v>
      </c>
      <c r="C147" s="12" t="n">
        <v>1482.71</v>
      </c>
      <c r="D147" s="12" t="n">
        <v>-27.83</v>
      </c>
      <c r="E147" s="12" t="n">
        <v>1454.88</v>
      </c>
      <c r="F147" s="12" t="n">
        <v>0</v>
      </c>
      <c r="G147" s="12" t="n">
        <v>0</v>
      </c>
      <c r="H147" s="12" t="n">
        <v>2.9</v>
      </c>
    </row>
    <row r="148">
      <c r="A148" s="20" t="n">
        <v>46318.30048123316</v>
      </c>
      <c r="B148" s="12" t="n">
        <v>1455.23</v>
      </c>
      <c r="C148" s="12" t="n">
        <v>1482.71</v>
      </c>
      <c r="D148" s="12" t="n">
        <v>-27.48</v>
      </c>
      <c r="E148" s="12" t="n">
        <v>1455.23</v>
      </c>
      <c r="F148" s="12" t="n">
        <v>0</v>
      </c>
      <c r="G148" s="12" t="n">
        <v>0</v>
      </c>
      <c r="H148" s="12" t="n">
        <v>2.9</v>
      </c>
    </row>
    <row r="149">
      <c r="A149" s="20" t="n">
        <v>46318.35363509861</v>
      </c>
      <c r="B149" s="12" t="n">
        <v>1460.32</v>
      </c>
      <c r="C149" s="12" t="n">
        <v>1482.71</v>
      </c>
      <c r="D149" s="12" t="n">
        <v>-22.39</v>
      </c>
      <c r="E149" s="12" t="n">
        <v>1460.32</v>
      </c>
      <c r="F149" s="12" t="n">
        <v>0</v>
      </c>
      <c r="G149" s="12" t="n">
        <v>0</v>
      </c>
      <c r="H149" s="12" t="n">
        <v>2.9</v>
      </c>
    </row>
    <row r="150">
      <c r="A150" s="20" t="n">
        <v>46318.38895347207</v>
      </c>
      <c r="B150" s="12" t="n">
        <v>1462.26</v>
      </c>
      <c r="C150" s="12" t="n">
        <v>1482.71</v>
      </c>
      <c r="D150" s="12" t="n">
        <v>-20.45</v>
      </c>
      <c r="E150" s="12" t="n">
        <v>1462.26</v>
      </c>
      <c r="F150" s="12" t="n">
        <v>0</v>
      </c>
      <c r="G150" s="12" t="n">
        <v>0</v>
      </c>
      <c r="H150" s="12" t="n">
        <v>2.9</v>
      </c>
    </row>
    <row r="151">
      <c r="A151" s="20" t="n">
        <v>46318.43035191742</v>
      </c>
      <c r="B151" s="12" t="n">
        <v>1468.18</v>
      </c>
      <c r="C151" s="12" t="n">
        <v>1482.71</v>
      </c>
      <c r="D151" s="12" t="n">
        <v>-14.53</v>
      </c>
      <c r="E151" s="12" t="n">
        <v>1468.18</v>
      </c>
      <c r="F151" s="12" t="n">
        <v>0</v>
      </c>
      <c r="G151" s="12" t="n">
        <v>0</v>
      </c>
      <c r="H151" s="12" t="n">
        <v>2.9</v>
      </c>
    </row>
    <row r="152">
      <c r="A152" s="20" t="n">
        <v>46318.47220546877</v>
      </c>
      <c r="B152" s="12" t="n">
        <v>1467.6</v>
      </c>
      <c r="C152" s="12" t="n">
        <v>1482.71</v>
      </c>
      <c r="D152" s="12" t="n">
        <v>-15.11</v>
      </c>
      <c r="E152" s="12" t="n">
        <v>1467.6</v>
      </c>
      <c r="F152" s="12" t="n">
        <v>0</v>
      </c>
      <c r="G152" s="12" t="n">
        <v>0</v>
      </c>
      <c r="H152" s="12" t="n">
        <v>2.9</v>
      </c>
    </row>
    <row r="153">
      <c r="A153" s="20" t="n">
        <v>46318.512969266</v>
      </c>
      <c r="B153" s="12" t="n">
        <v>1468.72</v>
      </c>
      <c r="C153" s="12" t="n">
        <v>1482.71</v>
      </c>
      <c r="D153" s="12" t="n">
        <v>-13.99</v>
      </c>
      <c r="E153" s="12" t="n">
        <v>1468.72</v>
      </c>
      <c r="F153" s="12" t="n">
        <v>0</v>
      </c>
      <c r="G153" s="12" t="n">
        <v>0</v>
      </c>
      <c r="H153" s="12" t="n">
        <v>2.9</v>
      </c>
    </row>
    <row r="154">
      <c r="A154" s="20" t="n">
        <v>46318.55519459807</v>
      </c>
      <c r="B154" s="12" t="n">
        <v>1471.5</v>
      </c>
      <c r="C154" s="12" t="n">
        <v>1482.71</v>
      </c>
      <c r="D154" s="12" t="n">
        <v>-11.21</v>
      </c>
      <c r="E154" s="12" t="n">
        <v>1471.5</v>
      </c>
      <c r="F154" s="12" t="n">
        <v>0</v>
      </c>
      <c r="G154" s="12" t="n">
        <v>0</v>
      </c>
      <c r="H154" s="12" t="n">
        <v>2.9</v>
      </c>
    </row>
    <row r="155">
      <c r="A155" s="20" t="n">
        <v>46318.60565881463</v>
      </c>
      <c r="B155" s="12" t="n">
        <v>1469.78</v>
      </c>
      <c r="C155" s="12" t="n">
        <v>1482.71</v>
      </c>
      <c r="D155" s="12" t="n">
        <v>-12.93</v>
      </c>
      <c r="E155" s="12" t="n">
        <v>1469.78</v>
      </c>
      <c r="F155" s="12" t="n">
        <v>0</v>
      </c>
      <c r="G155" s="12" t="n">
        <v>0</v>
      </c>
      <c r="H155" s="12" t="n">
        <v>2.9</v>
      </c>
    </row>
    <row r="156">
      <c r="A156" s="20" t="n">
        <v>46318.64091860073</v>
      </c>
      <c r="B156" s="12" t="n">
        <v>1473.31</v>
      </c>
      <c r="C156" s="12" t="n">
        <v>1482.71</v>
      </c>
      <c r="D156" s="12" t="n">
        <v>-9.4</v>
      </c>
      <c r="E156" s="12" t="n">
        <v>1473.31</v>
      </c>
      <c r="F156" s="12" t="n">
        <v>0</v>
      </c>
      <c r="G156" s="12" t="n">
        <v>0</v>
      </c>
      <c r="H156" s="12" t="n">
        <v>2.9</v>
      </c>
    </row>
    <row r="157">
      <c r="A157" s="20" t="n">
        <v>46318.68134166721</v>
      </c>
      <c r="B157" s="12" t="n">
        <v>1470.78</v>
      </c>
      <c r="C157" s="12" t="n">
        <v>1482.71</v>
      </c>
      <c r="D157" s="12" t="n">
        <v>-11.93</v>
      </c>
      <c r="E157" s="12" t="n">
        <v>1470.78</v>
      </c>
      <c r="F157" s="12" t="n">
        <v>0</v>
      </c>
      <c r="G157" s="12" t="n">
        <v>0</v>
      </c>
      <c r="H157" s="12" t="n">
        <v>2.9</v>
      </c>
    </row>
    <row r="158">
      <c r="A158" s="20" t="n">
        <v>46318.72222563676</v>
      </c>
      <c r="B158" s="12" t="n">
        <v>1469</v>
      </c>
      <c r="C158" s="12" t="n">
        <v>1482.71</v>
      </c>
      <c r="D158" s="12" t="n">
        <v>-13.71</v>
      </c>
      <c r="E158" s="12" t="n">
        <v>1469</v>
      </c>
      <c r="F158" s="12" t="n">
        <v>0</v>
      </c>
      <c r="G158" s="12" t="n">
        <v>0</v>
      </c>
      <c r="H158" s="12" t="n">
        <v>2.9</v>
      </c>
    </row>
    <row r="159">
      <c r="A159" s="20" t="n">
        <v>46318.76309999253</v>
      </c>
      <c r="B159" s="12" t="n">
        <v>1462.85</v>
      </c>
      <c r="C159" s="12" t="n">
        <v>1482.71</v>
      </c>
      <c r="D159" s="12" t="n">
        <v>-19.86</v>
      </c>
      <c r="E159" s="12" t="n">
        <v>1462.85</v>
      </c>
      <c r="F159" s="12" t="n">
        <v>0</v>
      </c>
      <c r="G159" s="12" t="n">
        <v>0</v>
      </c>
      <c r="H159" s="12" t="n">
        <v>2.9</v>
      </c>
    </row>
    <row r="160">
      <c r="A160" s="20" t="n">
        <v>46318.80176890301</v>
      </c>
      <c r="B160" s="12" t="n">
        <v>1462.05</v>
      </c>
      <c r="C160" s="12" t="n">
        <v>1482.71</v>
      </c>
      <c r="D160" s="12" t="n">
        <v>-20.66</v>
      </c>
      <c r="E160" s="12" t="n">
        <v>1462.05</v>
      </c>
      <c r="F160" s="12" t="n">
        <v>0</v>
      </c>
      <c r="G160" s="12" t="n">
        <v>0</v>
      </c>
      <c r="H160" s="12" t="n">
        <v>2.9</v>
      </c>
    </row>
    <row r="161">
      <c r="A161" s="20" t="n">
        <v>46318.85367480391</v>
      </c>
      <c r="B161" s="12" t="n">
        <v>1463.57</v>
      </c>
      <c r="C161" s="12" t="n">
        <v>1482.71</v>
      </c>
      <c r="D161" s="12" t="n">
        <v>-19.14</v>
      </c>
      <c r="E161" s="12" t="n">
        <v>1463.57</v>
      </c>
      <c r="F161" s="12" t="n">
        <v>0</v>
      </c>
      <c r="G161" s="12" t="n">
        <v>0</v>
      </c>
      <c r="H161" s="12" t="n">
        <v>2.9</v>
      </c>
    </row>
    <row r="162">
      <c r="A162" s="20" t="n">
        <v>46318.89260795845</v>
      </c>
      <c r="B162" s="12" t="n">
        <v>1459.54</v>
      </c>
      <c r="C162" s="12" t="n">
        <v>1482.71</v>
      </c>
      <c r="D162" s="12" t="n">
        <v>-23.17</v>
      </c>
      <c r="E162" s="12" t="n">
        <v>1459.54</v>
      </c>
      <c r="F162" s="12" t="n">
        <v>0</v>
      </c>
      <c r="G162" s="12" t="n">
        <v>0</v>
      </c>
      <c r="H162" s="12" t="n">
        <v>2.9</v>
      </c>
    </row>
    <row r="163">
      <c r="A163" s="20" t="n">
        <v>46318.93261221555</v>
      </c>
      <c r="B163" s="12" t="n">
        <v>1464.61</v>
      </c>
      <c r="C163" s="12" t="n">
        <v>1482.71</v>
      </c>
      <c r="D163" s="12" t="n">
        <v>-18.1</v>
      </c>
      <c r="E163" s="12" t="n">
        <v>1464.61</v>
      </c>
      <c r="F163" s="12" t="n">
        <v>0</v>
      </c>
      <c r="G163" s="12" t="n">
        <v>0</v>
      </c>
      <c r="H163" s="12" t="n">
        <v>2.9</v>
      </c>
    </row>
    <row r="164">
      <c r="A164" s="20" t="n">
        <v>46318.97524150756</v>
      </c>
      <c r="B164" s="12" t="n">
        <v>1467.14</v>
      </c>
      <c r="C164" s="12" t="n">
        <v>1482.71</v>
      </c>
      <c r="D164" s="12" t="n">
        <v>-15.57</v>
      </c>
      <c r="E164" s="12" t="n">
        <v>1467.14</v>
      </c>
      <c r="F164" s="12" t="n">
        <v>0</v>
      </c>
      <c r="G164" s="12" t="n">
        <v>0</v>
      </c>
      <c r="H164" s="12" t="n">
        <v>2.9</v>
      </c>
    </row>
    <row r="165">
      <c r="A165" s="20" t="n">
        <v>46319.01354260284</v>
      </c>
      <c r="B165" s="12" t="n">
        <v>1467.72</v>
      </c>
      <c r="C165" s="12" t="n">
        <v>1482.71</v>
      </c>
      <c r="D165" s="12" t="n">
        <v>-14.99</v>
      </c>
      <c r="E165" s="12" t="n">
        <v>1467.72</v>
      </c>
      <c r="F165" s="12" t="n">
        <v>0</v>
      </c>
      <c r="G165" s="12" t="n">
        <v>0</v>
      </c>
      <c r="H165" s="12" t="n">
        <v>2.9</v>
      </c>
    </row>
    <row r="166">
      <c r="A166" s="20" t="n">
        <v>46319.05226261076</v>
      </c>
      <c r="B166" s="12" t="n">
        <v>1467.41</v>
      </c>
      <c r="C166" s="12" t="n">
        <v>1482.71</v>
      </c>
      <c r="D166" s="12" t="n">
        <v>-15.3</v>
      </c>
      <c r="E166" s="12" t="n">
        <v>1467.41</v>
      </c>
      <c r="F166" s="12" t="n">
        <v>0</v>
      </c>
      <c r="G166" s="12" t="n">
        <v>0</v>
      </c>
      <c r="H166" s="12" t="n">
        <v>2.9</v>
      </c>
    </row>
    <row r="167">
      <c r="A167" s="20" t="n">
        <v>46319.10022143102</v>
      </c>
      <c r="B167" s="12" t="n">
        <v>1455.13</v>
      </c>
      <c r="C167" s="12" t="n">
        <v>1482.71</v>
      </c>
      <c r="D167" s="12" t="n">
        <v>-27.58</v>
      </c>
      <c r="E167" s="12" t="n">
        <v>1455.13</v>
      </c>
      <c r="F167" s="12" t="n">
        <v>0</v>
      </c>
      <c r="G167" s="12" t="n">
        <v>0</v>
      </c>
      <c r="H167" s="12" t="n">
        <v>2.9</v>
      </c>
    </row>
    <row r="168">
      <c r="A168" s="20" t="n">
        <v>46319.80122545454</v>
      </c>
      <c r="B168" s="12" t="n">
        <v>1426.9</v>
      </c>
      <c r="C168" s="12" t="n">
        <v>1482.71</v>
      </c>
      <c r="D168" s="12" t="n">
        <v>-55.81</v>
      </c>
      <c r="E168" s="12" t="n">
        <v>1426.9</v>
      </c>
      <c r="F168" s="12" t="n">
        <v>0</v>
      </c>
      <c r="G168" s="12" t="n">
        <v>0</v>
      </c>
      <c r="H168" s="12" t="n">
        <v>-17.67</v>
      </c>
    </row>
    <row r="169">
      <c r="A169" s="20" t="n">
        <v>46319.8489126171</v>
      </c>
      <c r="B169" s="12" t="n">
        <v>1428.36</v>
      </c>
      <c r="C169" s="12" t="n">
        <v>1482.71</v>
      </c>
      <c r="D169" s="12" t="n">
        <v>-54.35</v>
      </c>
      <c r="E169" s="12" t="n">
        <v>1428.36</v>
      </c>
      <c r="F169" s="12" t="n">
        <v>0</v>
      </c>
      <c r="G169" s="12" t="n">
        <v>0</v>
      </c>
      <c r="H169" s="12" t="n">
        <v>-17.67</v>
      </c>
    </row>
    <row r="170">
      <c r="A170" s="20" t="n">
        <v>46319.88413961389</v>
      </c>
      <c r="B170" s="12" t="n">
        <v>1426.74</v>
      </c>
      <c r="C170" s="12" t="n">
        <v>1482.71</v>
      </c>
      <c r="D170" s="12" t="n">
        <v>-55.97</v>
      </c>
      <c r="E170" s="12" t="n">
        <v>1426.74</v>
      </c>
      <c r="F170" s="12" t="n">
        <v>0</v>
      </c>
      <c r="G170" s="12" t="n">
        <v>0</v>
      </c>
      <c r="H170" s="12" t="n">
        <v>-17.67</v>
      </c>
    </row>
    <row r="171">
      <c r="A171" s="20" t="n">
        <v>46319.92562936326</v>
      </c>
      <c r="B171" s="12" t="n">
        <v>1407.52</v>
      </c>
      <c r="C171" s="12" t="n">
        <v>1482.71</v>
      </c>
      <c r="D171" s="12" t="n">
        <v>-75.19</v>
      </c>
      <c r="E171" s="12" t="n">
        <v>1407.52</v>
      </c>
      <c r="F171" s="12" t="n">
        <v>0</v>
      </c>
      <c r="G171" s="12" t="n">
        <v>0</v>
      </c>
      <c r="H171" s="12" t="n">
        <v>-37.6</v>
      </c>
    </row>
    <row r="172">
      <c r="A172" s="20" t="n">
        <v>46319.96773371554</v>
      </c>
      <c r="B172" s="12" t="n">
        <v>1408.05</v>
      </c>
      <c r="C172" s="12" t="n">
        <v>1482.71</v>
      </c>
      <c r="D172" s="12" t="n">
        <v>-74.66</v>
      </c>
      <c r="E172" s="12" t="n">
        <v>1408.05</v>
      </c>
      <c r="F172" s="12" t="n">
        <v>0</v>
      </c>
      <c r="G172" s="12" t="n">
        <v>0</v>
      </c>
      <c r="H172" s="12" t="n">
        <v>-37.6</v>
      </c>
    </row>
    <row r="173">
      <c r="A173" s="20" t="n">
        <v>46320.0100189058</v>
      </c>
      <c r="B173" s="12" t="n">
        <v>1410.1</v>
      </c>
      <c r="C173" s="12" t="n">
        <v>1482.71</v>
      </c>
      <c r="D173" s="12" t="n">
        <v>-72.61</v>
      </c>
      <c r="E173" s="12" t="n">
        <v>1410.1</v>
      </c>
      <c r="F173" s="12" t="n">
        <v>0</v>
      </c>
      <c r="G173" s="12" t="n">
        <v>0</v>
      </c>
      <c r="H173" s="12" t="n">
        <v>-37.6</v>
      </c>
    </row>
    <row r="174">
      <c r="A174" s="20" t="n">
        <v>46320.048965703</v>
      </c>
      <c r="B174" s="12" t="n">
        <v>1412.38</v>
      </c>
      <c r="C174" s="12" t="n">
        <v>1482.71</v>
      </c>
      <c r="D174" s="12" t="n">
        <v>-70.33</v>
      </c>
      <c r="E174" s="12" t="n">
        <v>1412.38</v>
      </c>
      <c r="F174" s="12" t="n">
        <v>0</v>
      </c>
      <c r="G174" s="12" t="n">
        <v>0</v>
      </c>
      <c r="H174" s="12" t="n">
        <v>-37.6</v>
      </c>
    </row>
    <row r="175">
      <c r="A175" s="20" t="n">
        <v>46320.09424341993</v>
      </c>
      <c r="B175" s="12" t="n">
        <v>1421.27</v>
      </c>
      <c r="C175" s="12" t="n">
        <v>1482.71</v>
      </c>
      <c r="D175" s="12" t="n">
        <v>-61.44</v>
      </c>
      <c r="E175" s="12" t="n">
        <v>1421.27</v>
      </c>
      <c r="F175" s="12" t="n">
        <v>0</v>
      </c>
      <c r="G175" s="12" t="n">
        <v>0</v>
      </c>
      <c r="H175" s="12" t="n">
        <v>-37.6</v>
      </c>
    </row>
    <row r="176">
      <c r="A176" s="20" t="n">
        <v>46320.13049777599</v>
      </c>
      <c r="B176" s="12" t="n">
        <v>1425.34</v>
      </c>
      <c r="C176" s="12" t="n">
        <v>1482.71</v>
      </c>
      <c r="D176" s="12" t="n">
        <v>-57.37</v>
      </c>
      <c r="E176" s="12" t="n">
        <v>1425.34</v>
      </c>
      <c r="F176" s="12" t="n">
        <v>0</v>
      </c>
      <c r="G176" s="12" t="n">
        <v>0</v>
      </c>
      <c r="H176" s="12" t="n">
        <v>-37.6</v>
      </c>
    </row>
    <row r="177">
      <c r="A177" s="20" t="n">
        <v>46320.17398339805</v>
      </c>
      <c r="B177" s="12" t="n">
        <v>1425.39</v>
      </c>
      <c r="C177" s="12" t="n">
        <v>1482.71</v>
      </c>
      <c r="D177" s="12" t="n">
        <v>-57.32</v>
      </c>
      <c r="E177" s="12" t="n">
        <v>1425.39</v>
      </c>
      <c r="F177" s="12" t="n">
        <v>0</v>
      </c>
      <c r="G177" s="12" t="n">
        <v>0</v>
      </c>
      <c r="H177" s="12" t="n">
        <v>-37.6</v>
      </c>
    </row>
    <row r="178">
      <c r="A178" s="20" t="n">
        <v>46320.21649578185</v>
      </c>
      <c r="B178" s="12" t="n">
        <v>1424.85</v>
      </c>
      <c r="C178" s="12" t="n">
        <v>1482.71</v>
      </c>
      <c r="D178" s="12" t="n">
        <v>-57.86</v>
      </c>
      <c r="E178" s="12" t="n">
        <v>1424.85</v>
      </c>
      <c r="F178" s="12" t="n">
        <v>0</v>
      </c>
      <c r="G178" s="12" t="n">
        <v>0</v>
      </c>
      <c r="H178" s="12" t="n">
        <v>-37.6</v>
      </c>
    </row>
    <row r="179">
      <c r="A179" s="20" t="n">
        <v>46320.25741074461</v>
      </c>
      <c r="B179" s="12" t="n">
        <v>1426.82</v>
      </c>
      <c r="C179" s="12" t="n">
        <v>1482.71</v>
      </c>
      <c r="D179" s="12" t="n">
        <v>-55.89</v>
      </c>
      <c r="E179" s="12" t="n">
        <v>1426.82</v>
      </c>
      <c r="F179" s="12" t="n">
        <v>0</v>
      </c>
      <c r="G179" s="12" t="n">
        <v>0</v>
      </c>
      <c r="H179" s="12" t="n">
        <v>-37.6</v>
      </c>
    </row>
    <row r="180">
      <c r="A180" s="20" t="n">
        <v>46320.29738019835</v>
      </c>
      <c r="B180" s="12" t="n">
        <v>1434.93</v>
      </c>
      <c r="C180" s="12" t="n">
        <v>1482.71</v>
      </c>
      <c r="D180" s="12" t="n">
        <v>-47.78</v>
      </c>
      <c r="E180" s="12" t="n">
        <v>1434.93</v>
      </c>
      <c r="F180" s="12" t="n">
        <v>0</v>
      </c>
      <c r="G180" s="12" t="n">
        <v>0</v>
      </c>
      <c r="H180" s="12" t="n">
        <v>-37.6</v>
      </c>
    </row>
    <row r="181">
      <c r="A181" s="20" t="n">
        <v>46320.34992419844</v>
      </c>
      <c r="B181" s="12" t="n">
        <v>1436.46</v>
      </c>
      <c r="C181" s="12" t="n">
        <v>1482.71</v>
      </c>
      <c r="D181" s="12" t="n">
        <v>-46.25</v>
      </c>
      <c r="E181" s="12" t="n">
        <v>1436.46</v>
      </c>
      <c r="F181" s="12" t="n">
        <v>0</v>
      </c>
      <c r="G181" s="12" t="n">
        <v>0</v>
      </c>
      <c r="H181" s="12" t="n">
        <v>-37.6</v>
      </c>
    </row>
    <row r="182">
      <c r="A182" s="20" t="n">
        <v>46320.38709533129</v>
      </c>
      <c r="B182" s="12" t="n">
        <v>1436.44</v>
      </c>
      <c r="C182" s="12" t="n">
        <v>1482.71</v>
      </c>
      <c r="D182" s="12" t="n">
        <v>-46.27</v>
      </c>
      <c r="E182" s="12" t="n">
        <v>1436.44</v>
      </c>
      <c r="F182" s="12" t="n">
        <v>0</v>
      </c>
      <c r="G182" s="12" t="n">
        <v>0</v>
      </c>
      <c r="H182" s="12" t="n">
        <v>-37.6</v>
      </c>
    </row>
    <row r="183">
      <c r="A183" s="20" t="n">
        <v>46320.42827569038</v>
      </c>
      <c r="B183" s="12" t="n">
        <v>1438.51</v>
      </c>
      <c r="C183" s="12" t="n">
        <v>1482.71</v>
      </c>
      <c r="D183" s="12" t="n">
        <v>-44.2</v>
      </c>
      <c r="E183" s="12" t="n">
        <v>1438.51</v>
      </c>
      <c r="F183" s="12" t="n">
        <v>0</v>
      </c>
      <c r="G183" s="12" t="n">
        <v>0</v>
      </c>
      <c r="H183" s="12" t="n">
        <v>-37.6</v>
      </c>
    </row>
    <row r="184">
      <c r="A184" s="20" t="n">
        <v>46320.47190820218</v>
      </c>
      <c r="B184" s="12" t="n">
        <v>1436.11</v>
      </c>
      <c r="C184" s="12" t="n">
        <v>1482.71</v>
      </c>
      <c r="D184" s="12" t="n">
        <v>-46.6</v>
      </c>
      <c r="E184" s="12" t="n">
        <v>1436.11</v>
      </c>
      <c r="F184" s="12" t="n">
        <v>0</v>
      </c>
      <c r="G184" s="12" t="n">
        <v>0</v>
      </c>
      <c r="H184" s="12" t="n">
        <v>-37.6</v>
      </c>
    </row>
    <row r="185">
      <c r="A185" s="20" t="n">
        <v>46320.51206243521</v>
      </c>
      <c r="B185" s="12" t="n">
        <v>1436</v>
      </c>
      <c r="C185" s="12" t="n">
        <v>1482.71</v>
      </c>
      <c r="D185" s="12" t="n">
        <v>-46.71</v>
      </c>
      <c r="E185" s="12" t="n">
        <v>1436</v>
      </c>
      <c r="F185" s="12" t="n">
        <v>0</v>
      </c>
      <c r="G185" s="12" t="n">
        <v>0</v>
      </c>
      <c r="H185" s="12" t="n">
        <v>-37.6</v>
      </c>
    </row>
    <row r="186">
      <c r="A186" s="20" t="n">
        <v>46320.55249056085</v>
      </c>
      <c r="B186" s="12" t="n">
        <v>1426.81</v>
      </c>
      <c r="C186" s="12" t="n">
        <v>1482.71</v>
      </c>
      <c r="D186" s="12" t="n">
        <v>-55.9</v>
      </c>
      <c r="E186" s="12" t="n">
        <v>1426.81</v>
      </c>
      <c r="F186" s="12" t="n">
        <v>0</v>
      </c>
      <c r="G186" s="12" t="n">
        <v>0</v>
      </c>
      <c r="H186" s="12" t="n">
        <v>-37.6</v>
      </c>
    </row>
    <row r="187">
      <c r="A187" s="20" t="n">
        <v>46320.60226252423</v>
      </c>
      <c r="B187" s="12" t="n">
        <v>1426.14</v>
      </c>
      <c r="C187" s="12" t="n">
        <v>1482.71</v>
      </c>
      <c r="D187" s="12" t="n">
        <v>-56.57</v>
      </c>
      <c r="E187" s="12" t="n">
        <v>1426.14</v>
      </c>
      <c r="F187" s="12" t="n">
        <v>0</v>
      </c>
      <c r="G187" s="12" t="n">
        <v>0</v>
      </c>
      <c r="H187" s="12" t="n">
        <v>-37.6</v>
      </c>
    </row>
    <row r="188">
      <c r="A188" s="20" t="n">
        <v>46320.63749287043</v>
      </c>
      <c r="B188" s="12" t="n">
        <v>1424.81</v>
      </c>
      <c r="C188" s="12" t="n">
        <v>1482.71</v>
      </c>
      <c r="D188" s="12" t="n">
        <v>-57.9</v>
      </c>
      <c r="E188" s="12" t="n">
        <v>1424.81</v>
      </c>
      <c r="F188" s="12" t="n">
        <v>0</v>
      </c>
      <c r="G188" s="12" t="n">
        <v>0</v>
      </c>
      <c r="H188" s="12" t="n">
        <v>-37.6</v>
      </c>
    </row>
    <row r="189">
      <c r="A189" s="20" t="n">
        <v>46320.67712024511</v>
      </c>
      <c r="B189" s="12" t="n">
        <v>1407.65</v>
      </c>
      <c r="C189" s="12" t="n">
        <v>1482.71</v>
      </c>
      <c r="D189" s="12" t="n">
        <v>-75.06</v>
      </c>
      <c r="E189" s="12" t="n">
        <v>1407.65</v>
      </c>
      <c r="F189" s="12" t="n">
        <v>0</v>
      </c>
      <c r="G189" s="12" t="n">
        <v>0</v>
      </c>
      <c r="H189" s="12" t="n">
        <v>-37.6</v>
      </c>
    </row>
    <row r="190">
      <c r="A190" s="20" t="n">
        <v>46320.71759389193</v>
      </c>
      <c r="B190" s="12" t="n">
        <v>1412.28</v>
      </c>
      <c r="C190" s="12" t="n">
        <v>1482.71</v>
      </c>
      <c r="D190" s="12" t="n">
        <v>-70.43000000000001</v>
      </c>
      <c r="E190" s="12" t="n">
        <v>1412.28</v>
      </c>
      <c r="F190" s="12" t="n">
        <v>0</v>
      </c>
      <c r="G190" s="12" t="n">
        <v>0</v>
      </c>
      <c r="H190" s="12" t="n">
        <v>-37.6</v>
      </c>
    </row>
    <row r="191">
      <c r="A191" s="20" t="n">
        <v>46320.75915786526</v>
      </c>
      <c r="B191" s="12" t="n">
        <v>1409.62</v>
      </c>
      <c r="C191" s="12" t="n">
        <v>1482.71</v>
      </c>
      <c r="D191" s="12" t="n">
        <v>-73.09</v>
      </c>
      <c r="E191" s="12" t="n">
        <v>1409.62</v>
      </c>
      <c r="F191" s="12" t="n">
        <v>0</v>
      </c>
      <c r="G191" s="12" t="n">
        <v>0</v>
      </c>
      <c r="H191" s="12" t="n">
        <v>-37.6</v>
      </c>
    </row>
    <row r="192">
      <c r="A192" s="20" t="n">
        <v>46320.80082627694</v>
      </c>
      <c r="B192" s="12" t="n">
        <v>1416.56</v>
      </c>
      <c r="C192" s="12" t="n">
        <v>1482.71</v>
      </c>
      <c r="D192" s="12" t="n">
        <v>-66.15000000000001</v>
      </c>
      <c r="E192" s="12" t="n">
        <v>1416.56</v>
      </c>
      <c r="F192" s="12" t="n">
        <v>0</v>
      </c>
      <c r="G192" s="12" t="n">
        <v>0</v>
      </c>
      <c r="H192" s="12" t="n">
        <v>-37.6</v>
      </c>
    </row>
    <row r="193">
      <c r="A193" s="20" t="n">
        <v>46320.84883849195</v>
      </c>
      <c r="B193" s="12" t="n">
        <v>1414.76</v>
      </c>
      <c r="C193" s="12" t="n">
        <v>1482.71</v>
      </c>
      <c r="D193" s="12" t="n">
        <v>-67.95</v>
      </c>
      <c r="E193" s="12" t="n">
        <v>1414.76</v>
      </c>
      <c r="F193" s="12" t="n">
        <v>0</v>
      </c>
      <c r="G193" s="12" t="n">
        <v>0</v>
      </c>
      <c r="H193" s="12" t="n">
        <v>-37.6</v>
      </c>
    </row>
    <row r="194">
      <c r="A194" s="20" t="n">
        <v>46320.88416223446</v>
      </c>
      <c r="B194" s="12" t="n">
        <v>1412.37</v>
      </c>
      <c r="C194" s="12" t="n">
        <v>1482.71</v>
      </c>
      <c r="D194" s="12" t="n">
        <v>-70.34</v>
      </c>
      <c r="E194" s="12" t="n">
        <v>1412.37</v>
      </c>
      <c r="F194" s="12" t="n">
        <v>0</v>
      </c>
      <c r="G194" s="12" t="n">
        <v>0</v>
      </c>
      <c r="H194" s="12" t="n">
        <v>-37.6</v>
      </c>
    </row>
    <row r="195">
      <c r="A195" s="20" t="n">
        <v>46320.92587290156</v>
      </c>
      <c r="B195" s="12" t="n">
        <v>1423.24</v>
      </c>
      <c r="C195" s="12" t="n">
        <v>1482.71</v>
      </c>
      <c r="D195" s="12" t="n">
        <v>-59.47</v>
      </c>
      <c r="E195" s="12" t="n">
        <v>1423.24</v>
      </c>
      <c r="F195" s="12" t="n">
        <v>0</v>
      </c>
      <c r="G195" s="12" t="n">
        <v>0</v>
      </c>
      <c r="H195" s="12" t="n">
        <v>-37.6</v>
      </c>
    </row>
    <row r="196">
      <c r="A196" s="20" t="n">
        <v>46320.96830357997</v>
      </c>
      <c r="B196" s="12" t="n">
        <v>1422.21</v>
      </c>
      <c r="C196" s="12" t="n">
        <v>1482.71</v>
      </c>
      <c r="D196" s="12" t="n">
        <v>-60.5</v>
      </c>
      <c r="E196" s="12" t="n">
        <v>1422.21</v>
      </c>
      <c r="F196" s="12" t="n">
        <v>0</v>
      </c>
      <c r="G196" s="12" t="n">
        <v>0</v>
      </c>
      <c r="H196" s="12" t="n">
        <v>-37.6</v>
      </c>
    </row>
    <row r="197">
      <c r="A197" s="20" t="n">
        <v>46321.01026483096</v>
      </c>
      <c r="B197" s="12" t="n">
        <v>1424.69</v>
      </c>
      <c r="C197" s="12" t="n">
        <v>1482.71</v>
      </c>
      <c r="D197" s="12" t="n">
        <v>-58.02</v>
      </c>
      <c r="E197" s="12" t="n">
        <v>1424.69</v>
      </c>
      <c r="F197" s="12" t="n">
        <v>0</v>
      </c>
      <c r="G197" s="12" t="n">
        <v>0</v>
      </c>
      <c r="H197" s="12" t="n">
        <v>-37.6</v>
      </c>
    </row>
    <row r="198">
      <c r="A198" s="20" t="n">
        <v>46321.04969812235</v>
      </c>
      <c r="B198" s="12" t="n">
        <v>1427.05</v>
      </c>
      <c r="C198" s="12" t="n">
        <v>1482.71</v>
      </c>
      <c r="D198" s="12" t="n">
        <v>-55.66</v>
      </c>
      <c r="E198" s="12" t="n">
        <v>1427.05</v>
      </c>
      <c r="F198" s="12" t="n">
        <v>0</v>
      </c>
      <c r="G198" s="12" t="n">
        <v>0</v>
      </c>
      <c r="H198" s="12" t="n">
        <v>-37.6</v>
      </c>
    </row>
    <row r="199">
      <c r="A199" s="20" t="n">
        <v>46321.09475673361</v>
      </c>
      <c r="B199" s="12" t="n">
        <v>1426.25</v>
      </c>
      <c r="C199" s="12" t="n">
        <v>1482.71</v>
      </c>
      <c r="D199" s="12" t="n">
        <v>-56.46</v>
      </c>
      <c r="E199" s="12" t="n">
        <v>1426.25</v>
      </c>
      <c r="F199" s="12" t="n">
        <v>0</v>
      </c>
      <c r="G199" s="12" t="n">
        <v>0</v>
      </c>
      <c r="H199" s="12" t="n">
        <v>-37.6</v>
      </c>
    </row>
    <row r="200">
      <c r="A200" s="20" t="n">
        <v>46321.13112762662</v>
      </c>
      <c r="B200" s="12" t="n">
        <v>1423.29</v>
      </c>
      <c r="C200" s="12" t="n">
        <v>1482.71</v>
      </c>
      <c r="D200" s="12" t="n">
        <v>-59.42</v>
      </c>
      <c r="E200" s="12" t="n">
        <v>1423.29</v>
      </c>
      <c r="F200" s="12" t="n">
        <v>0</v>
      </c>
      <c r="G200" s="12" t="n">
        <v>0</v>
      </c>
      <c r="H200" s="12" t="n">
        <v>-37.6</v>
      </c>
    </row>
    <row r="201">
      <c r="A201" s="20" t="n">
        <v>46321.17504086442</v>
      </c>
      <c r="B201" s="12" t="n">
        <v>1421.86</v>
      </c>
      <c r="C201" s="12" t="n">
        <v>1482.71</v>
      </c>
      <c r="D201" s="12" t="n">
        <v>-60.85</v>
      </c>
      <c r="E201" s="12" t="n">
        <v>1421.86</v>
      </c>
      <c r="F201" s="12" t="n">
        <v>0</v>
      </c>
      <c r="G201" s="12" t="n">
        <v>0</v>
      </c>
      <c r="H201" s="12" t="n">
        <v>-37.6</v>
      </c>
    </row>
    <row r="202">
      <c r="A202" s="20" t="n">
        <v>46321.21563751694</v>
      </c>
      <c r="B202" s="12" t="n">
        <v>1420.03</v>
      </c>
      <c r="C202" s="12" t="n">
        <v>1482.71</v>
      </c>
      <c r="D202" s="12" t="n">
        <v>-62.68</v>
      </c>
      <c r="E202" s="12" t="n">
        <v>1420.03</v>
      </c>
      <c r="F202" s="12" t="n">
        <v>0</v>
      </c>
      <c r="G202" s="12" t="n">
        <v>0</v>
      </c>
      <c r="H202" s="12" t="n">
        <v>-37.6</v>
      </c>
    </row>
    <row r="203">
      <c r="A203" s="20" t="n">
        <v>46321.25757120441</v>
      </c>
      <c r="B203" s="12" t="n">
        <v>1420.26</v>
      </c>
      <c r="C203" s="12" t="n">
        <v>1482.71</v>
      </c>
      <c r="D203" s="12" t="n">
        <v>-62.45</v>
      </c>
      <c r="E203" s="12" t="n">
        <v>1420.26</v>
      </c>
      <c r="F203" s="12" t="n">
        <v>0</v>
      </c>
      <c r="G203" s="12" t="n">
        <v>0</v>
      </c>
      <c r="H203" s="12" t="n">
        <v>-37.6</v>
      </c>
    </row>
    <row r="204">
      <c r="A204" s="20" t="n">
        <v>46321.29897472779</v>
      </c>
      <c r="B204" s="12" t="n">
        <v>1415.9</v>
      </c>
      <c r="C204" s="12" t="n">
        <v>1482.71</v>
      </c>
      <c r="D204" s="12" t="n">
        <v>-66.81</v>
      </c>
      <c r="E204" s="12" t="n">
        <v>1415.9</v>
      </c>
      <c r="F204" s="12" t="n">
        <v>0</v>
      </c>
      <c r="G204" s="12" t="n">
        <v>0</v>
      </c>
      <c r="H204" s="12" t="n">
        <v>-37.6</v>
      </c>
    </row>
    <row r="205">
      <c r="A205" s="20" t="n">
        <v>46321.35645186425</v>
      </c>
      <c r="B205" s="12" t="n">
        <v>1409.51</v>
      </c>
      <c r="C205" s="12" t="n">
        <v>1482.71</v>
      </c>
      <c r="D205" s="12" t="n">
        <v>-73.2</v>
      </c>
      <c r="E205" s="12" t="n">
        <v>1409.51</v>
      </c>
      <c r="F205" s="12" t="n">
        <v>0</v>
      </c>
      <c r="G205" s="12" t="n">
        <v>0</v>
      </c>
      <c r="H205" s="12" t="n">
        <v>-37.6</v>
      </c>
    </row>
    <row r="206">
      <c r="A206" s="20" t="n">
        <v>46321.39178055728</v>
      </c>
      <c r="B206" s="12" t="n">
        <v>1405.88</v>
      </c>
      <c r="C206" s="12" t="n">
        <v>1482.71</v>
      </c>
      <c r="D206" s="12" t="n">
        <v>-76.83</v>
      </c>
      <c r="E206" s="12" t="n">
        <v>1405.88</v>
      </c>
      <c r="F206" s="12" t="n">
        <v>0</v>
      </c>
      <c r="G206" s="12" t="n">
        <v>0</v>
      </c>
      <c r="H206" s="12" t="n">
        <v>-37.6</v>
      </c>
    </row>
    <row r="207">
      <c r="A207" s="20" t="n">
        <v>46321.4317783564</v>
      </c>
      <c r="B207" s="12" t="n">
        <v>1401.16</v>
      </c>
      <c r="C207" s="12" t="n">
        <v>1482.71</v>
      </c>
      <c r="D207" s="12" t="n">
        <v>-81.55</v>
      </c>
      <c r="E207" s="12" t="n">
        <v>1401.16</v>
      </c>
      <c r="F207" s="12" t="n">
        <v>0</v>
      </c>
      <c r="G207" s="12" t="n">
        <v>0</v>
      </c>
      <c r="H207" s="12" t="n">
        <v>-37.6</v>
      </c>
    </row>
    <row r="208">
      <c r="A208" s="20" t="n">
        <v>46321.47451207383</v>
      </c>
      <c r="B208" s="12" t="n">
        <v>1403.3</v>
      </c>
      <c r="C208" s="12" t="n">
        <v>1482.71</v>
      </c>
      <c r="D208" s="12" t="n">
        <v>-79.41</v>
      </c>
      <c r="E208" s="12" t="n">
        <v>1403.3</v>
      </c>
      <c r="F208" s="12" t="n">
        <v>0</v>
      </c>
      <c r="G208" s="12" t="n">
        <v>0</v>
      </c>
      <c r="H208" s="12" t="n">
        <v>-37.6</v>
      </c>
    </row>
    <row r="209">
      <c r="A209" s="20" t="n">
        <v>46321.51543849441</v>
      </c>
      <c r="B209" s="12" t="n">
        <v>1410.93</v>
      </c>
      <c r="C209" s="12" t="n">
        <v>1482.71</v>
      </c>
      <c r="D209" s="12" t="n">
        <v>-71.78</v>
      </c>
      <c r="E209" s="12" t="n">
        <v>1410.93</v>
      </c>
      <c r="F209" s="12" t="n">
        <v>0</v>
      </c>
      <c r="G209" s="12" t="n">
        <v>0</v>
      </c>
      <c r="H209" s="12" t="n">
        <v>-37.6</v>
      </c>
    </row>
    <row r="210">
      <c r="A210" s="20" t="n">
        <v>46321.557315127</v>
      </c>
      <c r="B210" s="12" t="n">
        <v>1405.98</v>
      </c>
      <c r="C210" s="12" t="n">
        <v>1482.71</v>
      </c>
      <c r="D210" s="12" t="n">
        <v>-76.73</v>
      </c>
      <c r="E210" s="12" t="n">
        <v>1405.98</v>
      </c>
      <c r="F210" s="12" t="n">
        <v>0</v>
      </c>
      <c r="G210" s="12" t="n">
        <v>0</v>
      </c>
      <c r="H210" s="12" t="n">
        <v>-37.6</v>
      </c>
    </row>
    <row r="211">
      <c r="A211" s="20" t="n">
        <v>46321.61102383563</v>
      </c>
      <c r="B211" s="12" t="n">
        <v>1400.22</v>
      </c>
      <c r="C211" s="12" t="n">
        <v>1482.71</v>
      </c>
      <c r="D211" s="12" t="n">
        <v>-82.48999999999999</v>
      </c>
      <c r="E211" s="12" t="n">
        <v>1400.22</v>
      </c>
      <c r="F211" s="12" t="n">
        <v>0</v>
      </c>
      <c r="G211" s="12" t="n">
        <v>0</v>
      </c>
      <c r="H211" s="12" t="n">
        <v>-37.6</v>
      </c>
    </row>
    <row r="212">
      <c r="A212" s="20" t="n">
        <v>46321.64684113851</v>
      </c>
      <c r="B212" s="12" t="n">
        <v>1405.3</v>
      </c>
      <c r="C212" s="12" t="n">
        <v>1482.71</v>
      </c>
      <c r="D212" s="12" t="n">
        <v>-77.41</v>
      </c>
      <c r="E212" s="12" t="n">
        <v>1405.3</v>
      </c>
      <c r="F212" s="12" t="n">
        <v>0</v>
      </c>
      <c r="G212" s="12" t="n">
        <v>0</v>
      </c>
      <c r="H212" s="12" t="n">
        <v>-37.6</v>
      </c>
    </row>
    <row r="213">
      <c r="A213" s="20" t="n">
        <v>46321.68632125203</v>
      </c>
      <c r="B213" s="12" t="n">
        <v>1412.76</v>
      </c>
      <c r="C213" s="12" t="n">
        <v>1482.71</v>
      </c>
      <c r="D213" s="12" t="n">
        <v>-69.95</v>
      </c>
      <c r="E213" s="12" t="n">
        <v>1412.76</v>
      </c>
      <c r="F213" s="12" t="n">
        <v>0</v>
      </c>
      <c r="G213" s="12" t="n">
        <v>0</v>
      </c>
      <c r="H213" s="12" t="n">
        <v>-37.6</v>
      </c>
    </row>
    <row r="214">
      <c r="A214" s="20" t="n">
        <v>46321.72794146816</v>
      </c>
      <c r="B214" s="12" t="n">
        <v>1410.58</v>
      </c>
      <c r="C214" s="12" t="n">
        <v>1482.71</v>
      </c>
      <c r="D214" s="12" t="n">
        <v>-72.13</v>
      </c>
      <c r="E214" s="12" t="n">
        <v>1410.58</v>
      </c>
      <c r="F214" s="12" t="n">
        <v>0</v>
      </c>
      <c r="G214" s="12" t="n">
        <v>0</v>
      </c>
      <c r="H214" s="12" t="n">
        <v>-37.6</v>
      </c>
    </row>
    <row r="215">
      <c r="A215" s="20" t="n">
        <v>46321.76998837432</v>
      </c>
      <c r="B215" s="12" t="n">
        <v>1408.79</v>
      </c>
      <c r="C215" s="12" t="n">
        <v>1482.71</v>
      </c>
      <c r="D215" s="12" t="n">
        <v>-73.92</v>
      </c>
      <c r="E215" s="12" t="n">
        <v>1408.79</v>
      </c>
      <c r="F215" s="12" t="n">
        <v>0</v>
      </c>
      <c r="G215" s="12" t="n">
        <v>0</v>
      </c>
      <c r="H215" s="12" t="n">
        <v>-37.6</v>
      </c>
    </row>
    <row r="216">
      <c r="A216" s="20" t="n">
        <v>46321.88422691536</v>
      </c>
      <c r="B216" s="12" t="n">
        <v>1407.39</v>
      </c>
      <c r="C216" s="12" t="n">
        <v>1482.71</v>
      </c>
      <c r="D216" s="12" t="n">
        <v>-75.31999999999999</v>
      </c>
      <c r="E216" s="12" t="n">
        <v>1407.39</v>
      </c>
      <c r="F216" s="12" t="n">
        <v>0</v>
      </c>
      <c r="G216" s="12" t="n">
        <v>0</v>
      </c>
      <c r="H216" s="12" t="n">
        <v>-37.6</v>
      </c>
    </row>
    <row r="217">
      <c r="A217" s="20" t="n">
        <v>46321.95473038807</v>
      </c>
      <c r="B217" s="12" t="n">
        <v>1421.69</v>
      </c>
      <c r="C217" s="12" t="n">
        <v>1482.71</v>
      </c>
      <c r="D217" s="12" t="n">
        <v>-61.02</v>
      </c>
      <c r="E217" s="12" t="n">
        <v>1421.69</v>
      </c>
      <c r="F217" s="12" t="n">
        <v>0</v>
      </c>
      <c r="G217" s="12" t="n">
        <v>0</v>
      </c>
      <c r="H217" s="12" t="n">
        <v>-37.6</v>
      </c>
    </row>
    <row r="218">
      <c r="A218" s="20" t="n">
        <v>46321.9900776107</v>
      </c>
      <c r="B218" s="12" t="n">
        <v>1403.45</v>
      </c>
      <c r="C218" s="12" t="n">
        <v>1482.71</v>
      </c>
      <c r="D218" s="12" t="n">
        <v>-79.26000000000001</v>
      </c>
      <c r="E218" s="12" t="n">
        <v>1403.45</v>
      </c>
      <c r="F218" s="12" t="n">
        <v>0</v>
      </c>
      <c r="G218" s="12" t="n">
        <v>0</v>
      </c>
      <c r="H218" s="12" t="n">
        <v>-37.6</v>
      </c>
    </row>
    <row r="219">
      <c r="A219" s="20" t="n">
        <v>46322.02545914912</v>
      </c>
      <c r="B219" s="12" t="n">
        <v>1413.24</v>
      </c>
      <c r="C219" s="12" t="n">
        <v>1482.71</v>
      </c>
      <c r="D219" s="12" t="n">
        <v>-69.47</v>
      </c>
      <c r="E219" s="12" t="n">
        <v>1413.24</v>
      </c>
      <c r="F219" s="12" t="n">
        <v>0</v>
      </c>
      <c r="G219" s="12" t="n">
        <v>0</v>
      </c>
      <c r="H219" s="12" t="n">
        <v>-37.6</v>
      </c>
    </row>
    <row r="220">
      <c r="A220" s="20" t="n">
        <v>46322.06098954121</v>
      </c>
      <c r="B220" s="12" t="n">
        <v>1411.39</v>
      </c>
      <c r="C220" s="12" t="n">
        <v>1482.71</v>
      </c>
      <c r="D220" s="12" t="n">
        <v>-71.31999999999999</v>
      </c>
      <c r="E220" s="12" t="n">
        <v>1411.39</v>
      </c>
      <c r="F220" s="12" t="n">
        <v>0</v>
      </c>
      <c r="G220" s="12" t="n">
        <v>0</v>
      </c>
      <c r="H220" s="12" t="n">
        <v>-37.6</v>
      </c>
    </row>
    <row r="221">
      <c r="A221" s="20" t="n">
        <v>46322.10497894727</v>
      </c>
      <c r="B221" s="12" t="n">
        <v>1402.88</v>
      </c>
      <c r="C221" s="12" t="n">
        <v>1482.71</v>
      </c>
      <c r="D221" s="12" t="n">
        <v>-79.83</v>
      </c>
      <c r="E221" s="12" t="n">
        <v>1402.88</v>
      </c>
      <c r="F221" s="12" t="n">
        <v>0</v>
      </c>
      <c r="G221" s="12" t="n">
        <v>0</v>
      </c>
      <c r="H221" s="12" t="n">
        <v>-37.6</v>
      </c>
    </row>
    <row r="222">
      <c r="A222" s="20" t="n">
        <v>46322.1403527173</v>
      </c>
      <c r="B222" s="12" t="n">
        <v>1404.27</v>
      </c>
      <c r="C222" s="12" t="n">
        <v>1482.71</v>
      </c>
      <c r="D222" s="12" t="n">
        <v>-78.44</v>
      </c>
      <c r="E222" s="12" t="n">
        <v>1404.27</v>
      </c>
      <c r="F222" s="12" t="n">
        <v>0</v>
      </c>
      <c r="G222" s="12" t="n">
        <v>0</v>
      </c>
      <c r="H222" s="12" t="n">
        <v>-37.6</v>
      </c>
    </row>
    <row r="223">
      <c r="A223" s="20" t="n">
        <v>46322.18075318288</v>
      </c>
      <c r="B223" s="12" t="n">
        <v>1399.26</v>
      </c>
      <c r="C223" s="12" t="n">
        <v>1482.71</v>
      </c>
      <c r="D223" s="12" t="n">
        <v>-83.45</v>
      </c>
      <c r="E223" s="12" t="n">
        <v>1399.26</v>
      </c>
      <c r="F223" s="12" t="n">
        <v>0</v>
      </c>
      <c r="G223" s="12" t="n">
        <v>0</v>
      </c>
      <c r="H223" s="12" t="n">
        <v>-37.6</v>
      </c>
    </row>
    <row r="224">
      <c r="A224" s="20" t="n">
        <v>46322.22224948625</v>
      </c>
      <c r="B224" s="12" t="n">
        <v>1403.74</v>
      </c>
      <c r="C224" s="12" t="n">
        <v>1482.71</v>
      </c>
      <c r="D224" s="12" t="n">
        <v>-78.97</v>
      </c>
      <c r="E224" s="12" t="n">
        <v>1403.74</v>
      </c>
      <c r="F224" s="12" t="n">
        <v>0</v>
      </c>
      <c r="G224" s="12" t="n">
        <v>0</v>
      </c>
      <c r="H224" s="12" t="n">
        <v>-37.6</v>
      </c>
    </row>
    <row r="225">
      <c r="A225" s="20" t="n">
        <v>46322.262186799</v>
      </c>
      <c r="B225" s="12" t="n">
        <v>1401.56</v>
      </c>
      <c r="C225" s="12" t="n">
        <v>1482.71</v>
      </c>
      <c r="D225" s="12" t="n">
        <v>-81.15000000000001</v>
      </c>
      <c r="E225" s="12" t="n">
        <v>1401.56</v>
      </c>
      <c r="F225" s="12" t="n">
        <v>0</v>
      </c>
      <c r="G225" s="12" t="n">
        <v>0</v>
      </c>
      <c r="H225" s="12" t="n">
        <v>-37.6</v>
      </c>
    </row>
    <row r="226">
      <c r="A226" s="20" t="n">
        <v>46322.30200350646</v>
      </c>
      <c r="B226" s="12" t="n">
        <v>1417.42</v>
      </c>
      <c r="C226" s="12" t="n">
        <v>1482.71</v>
      </c>
      <c r="D226" s="12" t="n">
        <v>-65.29000000000001</v>
      </c>
      <c r="E226" s="12" t="n">
        <v>1417.42</v>
      </c>
      <c r="F226" s="12" t="n">
        <v>0</v>
      </c>
      <c r="G226" s="12" t="n">
        <v>0</v>
      </c>
      <c r="H226" s="12" t="n">
        <v>-37.6</v>
      </c>
    </row>
    <row r="227">
      <c r="A227" s="20" t="n">
        <v>46322.35551642117</v>
      </c>
      <c r="B227" s="12" t="n">
        <v>1411.75</v>
      </c>
      <c r="C227" s="12" t="n">
        <v>1482.71</v>
      </c>
      <c r="D227" s="12" t="n">
        <v>-70.95999999999999</v>
      </c>
      <c r="E227" s="12" t="n">
        <v>1411.75</v>
      </c>
      <c r="F227" s="12" t="n">
        <v>0</v>
      </c>
      <c r="G227" s="12" t="n">
        <v>0</v>
      </c>
      <c r="H227" s="12" t="n">
        <v>-37.6</v>
      </c>
    </row>
    <row r="228">
      <c r="A228" s="20" t="n">
        <v>46322.39087317817</v>
      </c>
      <c r="B228" s="12" t="n">
        <v>1408.69</v>
      </c>
      <c r="C228" s="12" t="n">
        <v>1482.71</v>
      </c>
      <c r="D228" s="12" t="n">
        <v>-74.02</v>
      </c>
      <c r="E228" s="12" t="n">
        <v>1408.69</v>
      </c>
      <c r="F228" s="12" t="n">
        <v>0</v>
      </c>
      <c r="G228" s="12" t="n">
        <v>0</v>
      </c>
      <c r="H228" s="12" t="n">
        <v>-37.6</v>
      </c>
    </row>
    <row r="229">
      <c r="A229" s="20" t="n">
        <v>46322.43105722081</v>
      </c>
      <c r="B229" s="12" t="n">
        <v>1399.58</v>
      </c>
      <c r="C229" s="12" t="n">
        <v>1482.71</v>
      </c>
      <c r="D229" s="12" t="n">
        <v>-83.13</v>
      </c>
      <c r="E229" s="12" t="n">
        <v>1399.58</v>
      </c>
      <c r="F229" s="12" t="n">
        <v>0</v>
      </c>
      <c r="G229" s="12" t="n">
        <v>0</v>
      </c>
      <c r="H229" s="12" t="n">
        <v>-37.6</v>
      </c>
    </row>
    <row r="230">
      <c r="A230" s="20" t="n">
        <v>46322.47395306339</v>
      </c>
      <c r="B230" s="12" t="n">
        <v>1402.41</v>
      </c>
      <c r="C230" s="12" t="n">
        <v>1482.71</v>
      </c>
      <c r="D230" s="12" t="n">
        <v>-80.3</v>
      </c>
      <c r="E230" s="12" t="n">
        <v>1402.41</v>
      </c>
      <c r="F230" s="12" t="n">
        <v>0</v>
      </c>
      <c r="G230" s="12" t="n">
        <v>0</v>
      </c>
      <c r="H230" s="12" t="n">
        <v>-37.6</v>
      </c>
    </row>
    <row r="231">
      <c r="A231" s="20" t="n">
        <v>46322.51482778058</v>
      </c>
      <c r="B231" s="12" t="n">
        <v>1402.77</v>
      </c>
      <c r="C231" s="12" t="n">
        <v>1482.71</v>
      </c>
      <c r="D231" s="12" t="n">
        <v>-79.94</v>
      </c>
      <c r="E231" s="12" t="n">
        <v>1402.77</v>
      </c>
      <c r="F231" s="12" t="n">
        <v>0</v>
      </c>
      <c r="G231" s="12" t="n">
        <v>0</v>
      </c>
      <c r="H231" s="12" t="n">
        <v>-37.6</v>
      </c>
    </row>
    <row r="232">
      <c r="A232" s="20" t="n">
        <v>46322.5571289672</v>
      </c>
      <c r="B232" s="12" t="n">
        <v>1400.98</v>
      </c>
      <c r="C232" s="12" t="n">
        <v>1482.71</v>
      </c>
      <c r="D232" s="12" t="n">
        <v>-81.73</v>
      </c>
      <c r="E232" s="12" t="n">
        <v>1400.98</v>
      </c>
      <c r="F232" s="12" t="n">
        <v>0</v>
      </c>
      <c r="G232" s="12" t="n">
        <v>0</v>
      </c>
      <c r="H232" s="12" t="n">
        <v>-37.6</v>
      </c>
    </row>
    <row r="233">
      <c r="A233" s="20" t="n">
        <v>46322.60788196848</v>
      </c>
      <c r="B233" s="12" t="n">
        <v>1401.3</v>
      </c>
      <c r="C233" s="12" t="n">
        <v>1482.71</v>
      </c>
      <c r="D233" s="12" t="n">
        <v>-81.41</v>
      </c>
      <c r="E233" s="12" t="n">
        <v>1401.3</v>
      </c>
      <c r="F233" s="12" t="n">
        <v>0</v>
      </c>
      <c r="G233" s="12" t="n">
        <v>0</v>
      </c>
      <c r="H233" s="12" t="n">
        <v>-37.6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8" customWidth="1" min="3" max="3"/>
    <col width="34" customWidth="1" min="4" max="4"/>
    <col width="10" customWidth="1" min="5" max="5"/>
    <col width="90" customWidth="1" min="6" max="6"/>
  </cols>
  <sheetData>
    <row r="1">
      <c r="A1" s="1" t="inlineStr">
        <is>
          <t>เหตุผลการตัดสินใจของบอท (ล่าสุด 3,000 รายการ)</t>
        </is>
      </c>
    </row>
    <row r="3">
      <c r="A3" s="10" t="inlineStr">
        <is>
          <t>เวลา</t>
        </is>
      </c>
      <c r="B3" s="10" t="inlineStr">
        <is>
          <t>เหตุการณ์</t>
        </is>
      </c>
      <c r="C3" s="10" t="inlineStr">
        <is>
          <t>เหรียญ</t>
        </is>
      </c>
      <c r="D3" s="10" t="inlineStr">
        <is>
          <t>เหตุผล</t>
        </is>
      </c>
      <c r="E3" s="10" t="inlineStr">
        <is>
          <t>บาท</t>
        </is>
      </c>
      <c r="F3" s="10" t="inlineStr">
        <is>
          <t>รายละเอียด</t>
        </is>
      </c>
    </row>
    <row r="4">
      <c r="A4" s="20" t="n">
        <v>46319.88703763123</v>
      </c>
      <c r="B4" s="11" t="inlineStr">
        <is>
          <t>ซื้อ</t>
        </is>
      </c>
      <c r="C4" s="11" t="inlineStr">
        <is>
          <t>WLD</t>
        </is>
      </c>
      <c r="D4" s="11" t="inlineStr"/>
      <c r="E4" s="12" t="n">
        <v>180.07</v>
      </c>
      <c r="F4" s="11" t="inlineStr">
        <is>
          <t>{"thb": 180.07, "order_id": "6adcbdee9afed45b4207c047my81nv", "fill_price": 15.63, "pool": "dip", "drop_pct": 21.6, "pool_after": 0.0}</t>
        </is>
      </c>
    </row>
    <row r="5">
      <c r="A5" s="20" t="n">
        <v>46319.88699681254</v>
      </c>
      <c r="B5" s="11" t="inlineStr">
        <is>
          <t>ขาย</t>
        </is>
      </c>
      <c r="C5" s="11" t="inlineStr">
        <is>
          <t>CRV</t>
        </is>
      </c>
      <c r="D5" s="11" t="inlineStr">
        <is>
          <t>signal_cut</t>
        </is>
      </c>
      <c r="E5" s="12" t="n">
        <v>180.0728</v>
      </c>
      <c r="F5" s="11" t="inlineStr">
        <is>
          <t>{"reason": "signal_cut", "pnl_pct": -10.04, "proceeds_thb": 180.0728, "invested_thb": 200.0, "sell_price": 11.76, "back_to_pool": 180.0728}</t>
        </is>
      </c>
    </row>
    <row r="6">
      <c r="A6" s="20" t="n">
        <v>46319.11910433825</v>
      </c>
      <c r="B6" s="11" t="inlineStr">
        <is>
          <t>ซื้อ</t>
        </is>
      </c>
      <c r="C6" s="11" t="inlineStr">
        <is>
          <t>OP</t>
        </is>
      </c>
      <c r="D6" s="11" t="inlineStr"/>
      <c r="E6" s="12" t="n">
        <v>179.43</v>
      </c>
      <c r="F6" s="11" t="inlineStr">
        <is>
          <t>{"thb": 179.43, "order_id": "6adbbac1f36e54fa30e7771b2e9v48", "fill_price": 3.9280000000000004, "pool": "dip", "drop_pct": 12.8, "pool_after": 0.0}</t>
        </is>
      </c>
    </row>
    <row r="7">
      <c r="A7" s="20" t="n">
        <v>46319.1190659906</v>
      </c>
      <c r="B7" s="11" t="inlineStr">
        <is>
          <t>ขาย</t>
        </is>
      </c>
      <c r="C7" s="11" t="inlineStr">
        <is>
          <t>OP</t>
        </is>
      </c>
      <c r="D7" s="11" t="inlineStr">
        <is>
          <t>signal_cut</t>
        </is>
      </c>
      <c r="E7" s="12" t="n">
        <v>179.432</v>
      </c>
      <c r="F7" s="11" t="inlineStr">
        <is>
          <t>{"reason": "signal_cut", "pnl_pct": -10.147, "proceeds_thb": 179.432, "invested_thb": 200.0, "sell_price": 3.917, "back_to_pool": 179.432}</t>
        </is>
      </c>
    </row>
    <row r="8">
      <c r="A8" s="20" t="n">
        <v>46316.85409963741</v>
      </c>
      <c r="B8" s="11" t="inlineStr">
        <is>
          <t>ซื้อ</t>
        </is>
      </c>
      <c r="C8" s="11" t="inlineStr">
        <is>
          <t>XRP</t>
        </is>
      </c>
      <c r="D8" s="11" t="inlineStr"/>
      <c r="E8" s="12" t="n">
        <v>20.38</v>
      </c>
      <c r="F8" s="11" t="inlineStr">
        <is>
          <t>{"thb": 20.38, "order_id": "6ad8be50fd416b1e42ca1a15s5oh6d", "fill_price": 45.77, "rebuy": false, "gc_priority": true, "pool_after": 0.0}</t>
        </is>
      </c>
    </row>
    <row r="9">
      <c r="A9" s="20" t="n">
        <v>46316.8540105975</v>
      </c>
      <c r="B9" s="11" t="inlineStr">
        <is>
          <t>ซื้อไม่สำเร็จ</t>
        </is>
      </c>
      <c r="C9" s="11" t="inlineStr">
        <is>
          <t>XRP</t>
        </is>
      </c>
      <c r="D9" s="11" t="inlineStr"/>
      <c r="E9" s="12" t="n"/>
      <c r="F9" s="11" t="inlineStr">
        <is>
          <t>{"error": "Bitkub error code 18: {'error': 18}"}</t>
        </is>
      </c>
    </row>
    <row r="10">
      <c r="A10" s="20" t="n">
        <v>46316.8539946875</v>
      </c>
      <c r="B10" s="11" t="inlineStr">
        <is>
          <t>ซื้อ</t>
        </is>
      </c>
      <c r="C10" s="11" t="inlineStr">
        <is>
          <t>OP</t>
        </is>
      </c>
      <c r="D10" s="11" t="inlineStr"/>
      <c r="E10" s="12" t="n">
        <v>200</v>
      </c>
      <c r="F10" s="11" t="inlineStr">
        <is>
          <t>{"thb": 200.0, "order_id": "6ad8be47f8994b5804c2fdfc2e9v48", "fill_price": 4.366, "rebuy": false, "gc_priority": false, "pool_after": 20.39}</t>
        </is>
      </c>
    </row>
    <row r="11">
      <c r="A11" s="20" t="n">
        <v>46316.85396673398</v>
      </c>
      <c r="B11" s="11" t="inlineStr">
        <is>
          <t>ยังไม่ซื้อกลับ</t>
        </is>
      </c>
      <c r="C11" s="11" t="inlineStr">
        <is>
          <t>IOST</t>
        </is>
      </c>
      <c r="D11" s="11" t="inlineStr">
        <is>
          <t>รอผลวิเคราะห์รอบใหม่หลังขาย</t>
        </is>
      </c>
      <c r="E11" s="12" t="n"/>
      <c r="F11" s="11" t="inlineStr">
        <is>
          <t>{"reason": "รอผลวิเคราะห์รอบใหม่หลังขาย"}</t>
        </is>
      </c>
    </row>
    <row r="12">
      <c r="A12" s="20" t="n">
        <v>46316.85396673389</v>
      </c>
      <c r="B12" s="11" t="inlineStr">
        <is>
          <t>ยังไม่ซื้อกลับ</t>
        </is>
      </c>
      <c r="C12" s="11" t="inlineStr">
        <is>
          <t>WLD</t>
        </is>
      </c>
      <c r="D12" s="11" t="inlineStr">
        <is>
          <t>ผันผวน 5.30% เกิน 3.0%</t>
        </is>
      </c>
      <c r="E12" s="12" t="n"/>
      <c r="F12" s="11" t="inlineStr">
        <is>
          <t>{"reason": "ผันผวน 5.30% เกิน 3.0%"}</t>
        </is>
      </c>
    </row>
    <row r="13">
      <c r="A13" s="20" t="n">
        <v>46316.8539667336</v>
      </c>
      <c r="B13" s="11" t="inlineStr">
        <is>
          <t>ยังไม่ซื้อกลับ</t>
        </is>
      </c>
      <c r="C13" s="11" t="inlineStr">
        <is>
          <t>NEAR</t>
        </is>
      </c>
      <c r="D13" s="11" t="inlineStr">
        <is>
          <t>เพิ่งขายไป 5 ชม. (ต้องรอครบ 24 ชม.)</t>
        </is>
      </c>
      <c r="E13" s="12" t="n"/>
      <c r="F13" s="11" t="inlineStr">
        <is>
          <t>{"reason": "เพิ่งขายไป 5 ชม. (ต้องรอครบ 24 ชม.)"}</t>
        </is>
      </c>
    </row>
    <row r="14">
      <c r="A14" s="20" t="n">
        <v>46316.85396092947</v>
      </c>
      <c r="B14" s="11" t="inlineStr">
        <is>
          <t>ขาย</t>
        </is>
      </c>
      <c r="C14" s="11" t="inlineStr">
        <is>
          <t>IOST</t>
        </is>
      </c>
      <c r="D14" s="11" t="inlineStr">
        <is>
          <t>take_profit</t>
        </is>
      </c>
      <c r="E14" s="12" t="n">
        <v>217.8385</v>
      </c>
      <c r="F14" s="11" t="inlineStr">
        <is>
          <t>{"reason": "take_profit", "pnl_pct": 9.02, "proceeds_thb": 217.8385, "invested_thb": 200.0, "sell_price": 0.05422, "back_to_pool": 217.8385}</t>
        </is>
      </c>
    </row>
    <row r="15">
      <c r="A15" s="20" t="n">
        <v>46316.82061941548</v>
      </c>
      <c r="B15" s="11" t="inlineStr">
        <is>
          <t>ซื้อ</t>
        </is>
      </c>
      <c r="C15" s="11" t="inlineStr">
        <is>
          <t>IOST</t>
        </is>
      </c>
      <c r="D15" s="11" t="inlineStr"/>
      <c r="E15" s="12" t="n">
        <v>200</v>
      </c>
      <c r="F15" s="11" t="inlineStr">
        <is>
          <t>{"thb": 200.0, "order_id": "6ad8b30393de9096f7c8fea8bbnbad", "fill_price": 0.04978, "rebuy": false, "gc_priority": true, "pool_after": 2.55}</t>
        </is>
      </c>
    </row>
    <row r="16">
      <c r="A16" s="20" t="n">
        <v>46316.82058534315</v>
      </c>
      <c r="B16" s="11" t="inlineStr">
        <is>
          <t>ยังไม่ซื้อกลับ</t>
        </is>
      </c>
      <c r="C16" s="11" t="inlineStr">
        <is>
          <t>WLD</t>
        </is>
      </c>
      <c r="D16" s="11" t="inlineStr">
        <is>
          <t>ผันผวน 5.41% เกิน 3.0%</t>
        </is>
      </c>
      <c r="E16" s="12" t="n"/>
      <c r="F16" s="11" t="inlineStr">
        <is>
          <t>{"reason": "ผันผวน 5.41% เกิน 3.0%"}</t>
        </is>
      </c>
    </row>
    <row r="17">
      <c r="A17" s="20" t="n">
        <v>46316.82058534298</v>
      </c>
      <c r="B17" s="11" t="inlineStr">
        <is>
          <t>ยังไม่ซื้อกลับ</t>
        </is>
      </c>
      <c r="C17" s="11" t="inlineStr">
        <is>
          <t>NEAR</t>
        </is>
      </c>
      <c r="D17" s="11" t="inlineStr">
        <is>
          <t>เพิ่งขายไป 4 ชม. (ต้องรอครบ 24 ชม.)</t>
        </is>
      </c>
      <c r="E17" s="12" t="n"/>
      <c r="F17" s="11" t="inlineStr">
        <is>
          <t>{"reason": "เพิ่งขายไป 4 ชม. (ต้องรอครบ 24 ชม.)"}</t>
        </is>
      </c>
    </row>
    <row r="18">
      <c r="A18" s="20" t="n">
        <v>46316.82058531804</v>
      </c>
      <c r="B18" s="11" t="inlineStr">
        <is>
          <t>ซื้อ</t>
        </is>
      </c>
      <c r="C18" s="11" t="inlineStr">
        <is>
          <t>CRV</t>
        </is>
      </c>
      <c r="D18" s="11" t="inlineStr"/>
      <c r="E18" s="12" t="n">
        <v>200</v>
      </c>
      <c r="F18" s="11" t="inlineStr">
        <is>
          <t>{"thb": 200.0, "order_id": "6ad8b300eb4f00897d564ad07ma6x9", "fill_price": 13.08, "rebuy": true, "gc_priority": true, "pool_after": 202.55}</t>
        </is>
      </c>
    </row>
    <row r="19">
      <c r="A19" s="20" t="n">
        <v>46316.82054783559</v>
      </c>
      <c r="B19" s="11" t="inlineStr">
        <is>
          <t>ขาย</t>
        </is>
      </c>
      <c r="C19" s="11" t="inlineStr">
        <is>
          <t>XRP</t>
        </is>
      </c>
      <c r="D19" s="11" t="inlineStr">
        <is>
          <t>rebalance</t>
        </is>
      </c>
      <c r="E19" s="12" t="n">
        <v>201.3541</v>
      </c>
      <c r="F19" s="11" t="inlineStr">
        <is>
          <t>{"reason": "rebalance", "proceeds_thb": 201.3541, "invested_thb": 200.0, "sell_price": 45.56}</t>
        </is>
      </c>
    </row>
    <row r="20">
      <c r="A20" s="20" t="n">
        <v>46316.82052011268</v>
      </c>
      <c r="B20" s="11" t="inlineStr">
        <is>
          <t>ขาย</t>
        </is>
      </c>
      <c r="C20" s="11" t="inlineStr">
        <is>
          <t>DOGE</t>
        </is>
      </c>
      <c r="D20" s="11" t="inlineStr">
        <is>
          <t>rebalance</t>
        </is>
      </c>
      <c r="E20" s="12" t="n">
        <v>201.2009</v>
      </c>
      <c r="F20" s="11" t="inlineStr">
        <is>
          <t>{"reason": "rebalance", "proceeds_thb": 201.2009, "invested_thb": 200.0, "sell_price": 2.754}</t>
        </is>
      </c>
    </row>
    <row r="21">
      <c r="A21" s="20" t="n">
        <v>46316.81347345138</v>
      </c>
      <c r="B21" s="11" t="inlineStr">
        <is>
          <t>ซื้อ</t>
        </is>
      </c>
      <c r="C21" s="11" t="inlineStr">
        <is>
          <t>BTC</t>
        </is>
      </c>
      <c r="D21" s="11" t="inlineStr"/>
      <c r="E21" s="12" t="n">
        <v>42.73</v>
      </c>
      <c r="F21" s="11" t="inlineStr">
        <is>
          <t>{"thb": 42.73, "order_id": "6ad8b09aeb9b9f9cd7ef1824m8a2qe", "fill_price": 2803722.33, "rebuy": false, "gc_priority": false, "pool_after": 0.0}</t>
        </is>
      </c>
    </row>
    <row r="22">
      <c r="A22" s="20" t="n">
        <v>46316.81344586614</v>
      </c>
      <c r="B22" s="11" t="inlineStr">
        <is>
          <t>ซื้อ</t>
        </is>
      </c>
      <c r="C22" s="11" t="inlineStr">
        <is>
          <t>XRP</t>
        </is>
      </c>
      <c r="D22" s="11" t="inlineStr"/>
      <c r="E22" s="12" t="n">
        <v>200</v>
      </c>
      <c r="F22" s="11" t="inlineStr">
        <is>
          <t>{"thb": 200.0, "order_id": "6ad8b098eb4f00897d561ed9s5oh6d", "fill_price": 45.52, "rebuy": false, "gc_priority": true, "pool_after": 42.73}</t>
        </is>
      </c>
    </row>
    <row r="23">
      <c r="A23" s="20" t="n">
        <v>46316.81341768216</v>
      </c>
      <c r="B23" s="11" t="inlineStr">
        <is>
          <t>ซื้อ</t>
        </is>
      </c>
      <c r="C23" s="11" t="inlineStr">
        <is>
          <t>DOGE</t>
        </is>
      </c>
      <c r="D23" s="11" t="inlineStr"/>
      <c r="E23" s="12" t="n">
        <v>200</v>
      </c>
      <c r="F23" s="11" t="inlineStr">
        <is>
          <t>{"thb": 200.0, "order_id": "6ad8b095a30c97a966ace53e1o0oz7", "fill_price": 2.7521, "rebuy": false, "gc_priority": true, "pool_after": 242.73}</t>
        </is>
      </c>
    </row>
    <row r="24">
      <c r="A24" s="20" t="n">
        <v>46316.81338816559</v>
      </c>
      <c r="B24" s="11" t="inlineStr">
        <is>
          <t>ยังไม่ซื้อกลับ</t>
        </is>
      </c>
      <c r="C24" s="11" t="inlineStr">
        <is>
          <t>EPIC</t>
        </is>
      </c>
      <c r="D24" s="11" t="inlineStr">
        <is>
          <t>ไม่มีข้อมูลความเสี่ยงล่าสุด</t>
        </is>
      </c>
      <c r="E24" s="12" t="n"/>
      <c r="F24" s="11" t="inlineStr">
        <is>
          <t>{"reason": "ไม่มีข้อมูลความเสี่ยงล่าสุด"}</t>
        </is>
      </c>
    </row>
    <row r="25">
      <c r="A25" s="20" t="n">
        <v>46316.81338816543</v>
      </c>
      <c r="B25" s="11" t="inlineStr">
        <is>
          <t>ยังไม่ซื้อกลับ</t>
        </is>
      </c>
      <c r="C25" s="11" t="inlineStr">
        <is>
          <t>XLM</t>
        </is>
      </c>
      <c r="D25" s="11" t="inlineStr">
        <is>
          <t>ไม่มีข้อมูลความเสี่ยงล่าสุด</t>
        </is>
      </c>
      <c r="E25" s="12" t="n"/>
      <c r="F25" s="11" t="inlineStr">
        <is>
          <t>{"reason": "ไม่มีข้อมูลความเสี่ยงล่าสุด"}</t>
        </is>
      </c>
    </row>
    <row r="26">
      <c r="A26" s="20" t="n">
        <v>46316.81338814248</v>
      </c>
      <c r="B26" s="11" t="inlineStr">
        <is>
          <t>ซื้อ</t>
        </is>
      </c>
      <c r="C26" s="11" t="inlineStr">
        <is>
          <t>SOL</t>
        </is>
      </c>
      <c r="D26" s="11" t="inlineStr"/>
      <c r="E26" s="12" t="n">
        <v>150</v>
      </c>
      <c r="F26" s="11" t="inlineStr">
        <is>
          <t>{"thb": 150.0, "order_id": "6ad8b0933ceccbe0db2df82300es3u", "fill_price": 3589.05, "rebuy": false, "gc_priority": false, "pool_after": 442.73}</t>
        </is>
      </c>
    </row>
    <row r="27">
      <c r="A27" s="20" t="n">
        <v>46316.81336067676</v>
      </c>
      <c r="B27" s="11" t="inlineStr">
        <is>
          <t>ซื้อ</t>
        </is>
      </c>
      <c r="C27" s="11" t="inlineStr">
        <is>
          <t>ETH</t>
        </is>
      </c>
      <c r="D27" s="11" t="inlineStr"/>
      <c r="E27" s="12" t="n">
        <v>25.3</v>
      </c>
      <c r="F27" s="11" t="inlineStr">
        <is>
          <t>{"thb": 25.3, "order_id": "6ad8b090b2fb1387545f4b69j542k5", "fill_price": 82799.94, "rebuy": false, "gc_priority": false, "pool_after": 592.73}</t>
        </is>
      </c>
    </row>
    <row r="28">
      <c r="A28" s="20" t="n">
        <v>46316.81333078042</v>
      </c>
      <c r="B28" s="11" t="inlineStr">
        <is>
          <t>ยังไม่ซื้อกลับ</t>
        </is>
      </c>
      <c r="C28" s="11" t="inlineStr">
        <is>
          <t>NEAR</t>
        </is>
      </c>
      <c r="D28" s="11" t="inlineStr">
        <is>
          <t>เพิ่งขายไป 4 ชม. (ต้องรอครบ 24 ชม.)</t>
        </is>
      </c>
      <c r="E28" s="12" t="n"/>
      <c r="F28" s="11" t="inlineStr">
        <is>
          <t>{"reason": "เพิ่งขายไป 4 ชม. (ต้องรอครบ 24 ชม.)"}</t>
        </is>
      </c>
    </row>
    <row r="29">
      <c r="A29" s="20" t="n">
        <v>46316.81333078023</v>
      </c>
      <c r="B29" s="11" t="inlineStr">
        <is>
          <t>ยังไม่ซื้อกลับ</t>
        </is>
      </c>
      <c r="C29" s="11" t="inlineStr">
        <is>
          <t>WLD</t>
        </is>
      </c>
      <c r="D29" s="11" t="inlineStr">
        <is>
          <t>ผันผวน 5.42% เกิน 3.0%</t>
        </is>
      </c>
      <c r="E29" s="12" t="n"/>
      <c r="F29" s="11" t="inlineStr">
        <is>
          <t>{"reason": "ผันผวน 5.42% เกิน 3.0%"}</t>
        </is>
      </c>
    </row>
    <row r="30">
      <c r="A30" s="20" t="n">
        <v>46316.81333075784</v>
      </c>
      <c r="B30" s="11" t="inlineStr">
        <is>
          <t>ซื้อ</t>
        </is>
      </c>
      <c r="C30" s="11" t="inlineStr">
        <is>
          <t>XRP</t>
        </is>
      </c>
      <c r="D30" s="11" t="inlineStr"/>
      <c r="E30" s="12" t="n">
        <v>150</v>
      </c>
      <c r="F30" s="11" t="inlineStr">
        <is>
          <t>{"thb": 150.0, "order_id": "6ad8b08efd416b1e42c8860ds5oh6d", "fill_price": 45.52, "rebuy": false, "gc_priority": true, "pool_after": 618.03}</t>
        </is>
      </c>
    </row>
    <row r="31">
      <c r="A31" s="20" t="n">
        <v>46316.813300455</v>
      </c>
      <c r="B31" s="11" t="inlineStr">
        <is>
          <t>ซื้อ</t>
        </is>
      </c>
      <c r="C31" s="11" t="inlineStr">
        <is>
          <t>DOGE</t>
        </is>
      </c>
      <c r="D31" s="11" t="inlineStr"/>
      <c r="E31" s="12" t="n">
        <v>150</v>
      </c>
      <c r="F31" s="11" t="inlineStr">
        <is>
          <t>{"thb": 150.0, "order_id": "6ad8b08beb9b9f9cd7ef16511o0oz7", "fill_price": 2.7522, "rebuy": false, "gc_priority": true, "pool_after": 768.03}</t>
        </is>
      </c>
    </row>
    <row r="32">
      <c r="A32" s="20" t="n">
        <v>46316.8132641728</v>
      </c>
      <c r="B32" s="11" t="inlineStr">
        <is>
          <t>เริ่มโหมดทั้งบัญชี</t>
        </is>
      </c>
      <c r="C32" s="11" t="n"/>
      <c r="D32" s="11" t="inlineStr"/>
      <c r="E32" s="12" t="n"/>
      <c r="F32" s="11" t="inlineStr">
        <is>
          <t>{"capital_thb": 1482.71, "cash_thb": 918.03, "invested_thb": 564.68}</t>
        </is>
      </c>
    </row>
    <row r="33">
      <c r="A33" s="20" t="n">
        <v>46316.8052809935</v>
      </c>
      <c r="B33" s="11" t="inlineStr">
        <is>
          <t>ยังไม่ซื้อกลับ</t>
        </is>
      </c>
      <c r="C33" s="11" t="inlineStr">
        <is>
          <t>EPIC</t>
        </is>
      </c>
      <c r="D33" s="11" t="inlineStr">
        <is>
          <t>ไม่มีข้อมูลความเสี่ยงล่าสุด</t>
        </is>
      </c>
      <c r="E33" s="12" t="n"/>
      <c r="F33" s="11" t="inlineStr">
        <is>
          <t>{"reason": "ไม่มีข้อมูลความเสี่ยงล่าสุด"}</t>
        </is>
      </c>
    </row>
    <row r="34">
      <c r="A34" s="20" t="n">
        <v>46316.80528099345</v>
      </c>
      <c r="B34" s="11" t="inlineStr">
        <is>
          <t>ยังไม่ซื้อกลับ</t>
        </is>
      </c>
      <c r="C34" s="11" t="inlineStr">
        <is>
          <t>XLM</t>
        </is>
      </c>
      <c r="D34" s="11" t="inlineStr">
        <is>
          <t>ไม่มีข้อมูลความเสี่ยงล่าสุด</t>
        </is>
      </c>
      <c r="E34" s="12" t="n"/>
      <c r="F34" s="11" t="inlineStr">
        <is>
          <t>{"reason": "ไม่มีข้อมูลความเสี่ยงล่าสุด"}</t>
        </is>
      </c>
    </row>
    <row r="35">
      <c r="A35" s="20" t="n">
        <v>46316.80528099331</v>
      </c>
      <c r="B35" s="11" t="inlineStr">
        <is>
          <t>ยังไม่ซื้อกลับ</t>
        </is>
      </c>
      <c r="C35" s="11" t="inlineStr">
        <is>
          <t>NEAR</t>
        </is>
      </c>
      <c r="D35" s="11" t="inlineStr">
        <is>
          <t>เพิ่งขายไป 3 ชม. (ต้องรอครบ 24 ชม.)</t>
        </is>
      </c>
      <c r="E35" s="12" t="n"/>
      <c r="F35" s="11" t="inlineStr">
        <is>
          <t>{"reason": "เพิ่งขายไป 3 ชม. (ต้องรอครบ 24 ชม.)"}</t>
        </is>
      </c>
    </row>
    <row r="36">
      <c r="A36" s="20" t="n">
        <v>46316.80528099316</v>
      </c>
      <c r="B36" s="11" t="inlineStr">
        <is>
          <t>ยังไม่ซื้อกลับ</t>
        </is>
      </c>
      <c r="C36" s="11" t="inlineStr">
        <is>
          <t>WLD</t>
        </is>
      </c>
      <c r="D36" s="11" t="inlineStr">
        <is>
          <t>ผันผวน 5.41% เกิน 3.0%</t>
        </is>
      </c>
      <c r="E36" s="12" t="n"/>
      <c r="F36" s="11" t="inlineStr">
        <is>
          <t>{"reason": "ผันผวน 5.41% เกิน 3.0%"}</t>
        </is>
      </c>
    </row>
    <row r="37">
      <c r="A37" s="20" t="n">
        <v>46316.7634265476</v>
      </c>
      <c r="B37" s="11" t="inlineStr">
        <is>
          <t>ยังไม่ซื้อกลับ</t>
        </is>
      </c>
      <c r="C37" s="11" t="inlineStr">
        <is>
          <t>EPIC</t>
        </is>
      </c>
      <c r="D37" s="11" t="inlineStr">
        <is>
          <t>ไม่มีข้อมูลความเสี่ยงล่าสุด</t>
        </is>
      </c>
      <c r="E37" s="12" t="n"/>
      <c r="F37" s="11" t="inlineStr">
        <is>
          <t>{"reason": "ไม่มีข้อมูลความเสี่ยงล่าสุด"}</t>
        </is>
      </c>
    </row>
    <row r="38">
      <c r="A38" s="20" t="n">
        <v>46316.76342654755</v>
      </c>
      <c r="B38" s="11" t="inlineStr">
        <is>
          <t>ยังไม่ซื้อกลับ</t>
        </is>
      </c>
      <c r="C38" s="11" t="inlineStr">
        <is>
          <t>NEAR</t>
        </is>
      </c>
      <c r="D38" s="11" t="inlineStr">
        <is>
          <t>เพิ่งขายไป 2 ชม. (ต้องรอครบ 24 ชม.)</t>
        </is>
      </c>
      <c r="E38" s="12" t="n"/>
      <c r="F38" s="11" t="inlineStr">
        <is>
          <t>{"reason": "เพิ่งขายไป 2 ชม. (ต้องรอครบ 24 ชม.)"}</t>
        </is>
      </c>
    </row>
    <row r="39">
      <c r="A39" s="20" t="n">
        <v>46316.7634265474</v>
      </c>
      <c r="B39" s="11" t="inlineStr">
        <is>
          <t>ยังไม่ซื้อกลับ</t>
        </is>
      </c>
      <c r="C39" s="11" t="inlineStr">
        <is>
          <t>WLD</t>
        </is>
      </c>
      <c r="D39" s="11" t="inlineStr">
        <is>
          <t>ผันผวน 5.46% เกิน 3.0%</t>
        </is>
      </c>
      <c r="E39" s="12" t="n"/>
      <c r="F39" s="11" t="inlineStr">
        <is>
          <t>{"reason": "ผันผวน 5.46% เกิน 3.0%"}</t>
        </is>
      </c>
    </row>
    <row r="40">
      <c r="A40" s="20" t="n">
        <v>46316.76342654713</v>
      </c>
      <c r="B40" s="11" t="inlineStr">
        <is>
          <t>ยังไม่ซื้อกลับ</t>
        </is>
      </c>
      <c r="C40" s="11" t="inlineStr">
        <is>
          <t>XLM</t>
        </is>
      </c>
      <c r="D40" s="11" t="inlineStr">
        <is>
          <t>ไม่มีข้อมูลความเสี่ยงล่าสุด</t>
        </is>
      </c>
      <c r="E40" s="12" t="n"/>
      <c r="F40" s="11" t="inlineStr">
        <is>
          <t>{"reason": "ไม่มีข้อมูลความเสี่ยงล่าสุด"}</t>
        </is>
      </c>
    </row>
    <row r="41">
      <c r="A41" s="20" t="n">
        <v>46316.72249742081</v>
      </c>
      <c r="B41" s="11" t="inlineStr">
        <is>
          <t>ยังไม่ซื้อกลับ</t>
        </is>
      </c>
      <c r="C41" s="11" t="inlineStr">
        <is>
          <t>EPIC</t>
        </is>
      </c>
      <c r="D41" s="11" t="inlineStr">
        <is>
          <t>ไม่มีข้อมูลความเสี่ยงล่าสุด</t>
        </is>
      </c>
      <c r="E41" s="12" t="n"/>
      <c r="F41" s="11" t="inlineStr">
        <is>
          <t>{"reason": "ไม่มีข้อมูลความเสี่ยงล่าสุด"}</t>
        </is>
      </c>
    </row>
    <row r="42">
      <c r="A42" s="20" t="n">
        <v>46316.72249742074</v>
      </c>
      <c r="B42" s="11" t="inlineStr">
        <is>
          <t>ยังไม่ซื้อกลับ</t>
        </is>
      </c>
      <c r="C42" s="11" t="inlineStr">
        <is>
          <t>NEAR</t>
        </is>
      </c>
      <c r="D42" s="11" t="inlineStr">
        <is>
          <t>เพิ่งขายไป 1 ชม. (ต้องรอครบ 24 ชม.)</t>
        </is>
      </c>
      <c r="E42" s="12" t="n"/>
      <c r="F42" s="11" t="inlineStr">
        <is>
          <t>{"reason": "เพิ่งขายไป 1 ชม. (ต้องรอครบ 24 ชม.)"}</t>
        </is>
      </c>
    </row>
    <row r="43">
      <c r="A43" s="20" t="n">
        <v>46316.72249742055</v>
      </c>
      <c r="B43" s="11" t="inlineStr">
        <is>
          <t>ยังไม่ซื้อกลับ</t>
        </is>
      </c>
      <c r="C43" s="11" t="inlineStr">
        <is>
          <t>WLD</t>
        </is>
      </c>
      <c r="D43" s="11" t="inlineStr">
        <is>
          <t>ผันผวน 5.58% เกิน 3.0%</t>
        </is>
      </c>
      <c r="E43" s="12" t="n"/>
      <c r="F43" s="11" t="inlineStr">
        <is>
          <t>{"reason": "ผันผวน 5.58% เกิน 3.0%"}</t>
        </is>
      </c>
    </row>
    <row r="44">
      <c r="A44" s="20" t="n">
        <v>46316.72249742025</v>
      </c>
      <c r="B44" s="11" t="inlineStr">
        <is>
          <t>ยังไม่ซื้อกลับ</t>
        </is>
      </c>
      <c r="C44" s="11" t="inlineStr">
        <is>
          <t>XLM</t>
        </is>
      </c>
      <c r="D44" s="11" t="inlineStr">
        <is>
          <t>ไม่มีข้อมูลความเสี่ยงล่าสุด</t>
        </is>
      </c>
      <c r="E44" s="12" t="n"/>
      <c r="F44" s="11" t="inlineStr">
        <is>
          <t>{"reason": "ไม่มีข้อมูลความเสี่ยงล่าสุด"}</t>
        </is>
      </c>
    </row>
    <row r="45">
      <c r="A45" s="20" t="n">
        <v>46316.6830037006</v>
      </c>
      <c r="B45" s="11" t="inlineStr">
        <is>
          <t>ยังไม่ซื้อกลับ</t>
        </is>
      </c>
      <c r="C45" s="11" t="inlineStr">
        <is>
          <t>EPIC</t>
        </is>
      </c>
      <c r="D45" s="11" t="inlineStr">
        <is>
          <t>ไม่มีข้อมูลความเสี่ยงล่าสุด</t>
        </is>
      </c>
      <c r="E45" s="12" t="n"/>
      <c r="F45" s="11" t="inlineStr">
        <is>
          <t>{"reason": "ไม่มีข้อมูลความเสี่ยงล่าสุด"}</t>
        </is>
      </c>
    </row>
    <row r="46">
      <c r="A46" s="20" t="n">
        <v>46316.68300370053</v>
      </c>
      <c r="B46" s="11" t="inlineStr">
        <is>
          <t>ยังไม่ซื้อกลับ</t>
        </is>
      </c>
      <c r="C46" s="11" t="inlineStr">
        <is>
          <t>NEAR</t>
        </is>
      </c>
      <c r="D46" s="11" t="inlineStr">
        <is>
          <t>ไม่มีข้อมูลความเสี่ยงล่าสุด</t>
        </is>
      </c>
      <c r="E46" s="12" t="n"/>
      <c r="F46" s="11" t="inlineStr">
        <is>
          <t>{"reason": "ไม่มีข้อมูลความเสี่ยงล่าสุด"}</t>
        </is>
      </c>
    </row>
    <row r="47">
      <c r="A47" s="20" t="n">
        <v>46316.6830037004</v>
      </c>
      <c r="B47" s="11" t="inlineStr">
        <is>
          <t>ยังไม่ซื้อกลับ</t>
        </is>
      </c>
      <c r="C47" s="11" t="inlineStr">
        <is>
          <t>WLD</t>
        </is>
      </c>
      <c r="D47" s="11" t="inlineStr">
        <is>
          <t>ผันผวน 5.72% เกิน 3.0%</t>
        </is>
      </c>
      <c r="E47" s="12" t="n"/>
      <c r="F47" s="11" t="inlineStr">
        <is>
          <t>{"reason": "ผันผวน 5.72% เกิน 3.0%"}</t>
        </is>
      </c>
    </row>
    <row r="48">
      <c r="A48" s="20" t="n">
        <v>46316.68300370011</v>
      </c>
      <c r="B48" s="11" t="inlineStr">
        <is>
          <t>ยังไม่ซื้อกลับ</t>
        </is>
      </c>
      <c r="C48" s="11" t="inlineStr">
        <is>
          <t>XLM</t>
        </is>
      </c>
      <c r="D48" s="11" t="inlineStr">
        <is>
          <t>ไม่มีข้อมูลความเสี่ยงล่าสุด</t>
        </is>
      </c>
      <c r="E48" s="12" t="n"/>
      <c r="F48" s="11" t="inlineStr">
        <is>
          <t>{"reason": "ไม่มีข้อมูลความเสี่ยงล่าสุด"}</t>
        </is>
      </c>
    </row>
    <row r="49">
      <c r="A49" s="20" t="n">
        <v>46316.66010616729</v>
      </c>
      <c r="B49" s="11" t="inlineStr">
        <is>
          <t>ขาย</t>
        </is>
      </c>
      <c r="C49" s="11" t="inlineStr">
        <is>
          <t>NEAR</t>
        </is>
      </c>
      <c r="D49" s="11" t="inlineStr">
        <is>
          <t>take_profit</t>
        </is>
      </c>
      <c r="E49" s="12" t="n">
        <v>52.9485</v>
      </c>
      <c r="F49" s="11" t="inlineStr">
        <is>
          <t>{"reason": "take_profit", "pnl_pct": 5.221, "proceeds_thb": 52.9485, "invested_thb": 50.0, "sell_price": 176.96, "back_to_pool": 50.0}</t>
        </is>
      </c>
    </row>
    <row r="50">
      <c r="A50" s="20" t="n">
        <v>46316.64128256514</v>
      </c>
      <c r="B50" s="11" t="inlineStr">
        <is>
          <t>ยังไม่ซื้อกลับ</t>
        </is>
      </c>
      <c r="C50" s="11" t="inlineStr">
        <is>
          <t>EPIC</t>
        </is>
      </c>
      <c r="D50" s="11" t="inlineStr">
        <is>
          <t>ไม่มีข้อมูลความเสี่ยงล่าสุด</t>
        </is>
      </c>
      <c r="E50" s="12" t="n"/>
      <c r="F50" s="11" t="inlineStr">
        <is>
          <t>{"reason": "ไม่มีข้อมูลความเสี่ยงล่าสุด"}</t>
        </is>
      </c>
    </row>
    <row r="51">
      <c r="A51" s="20" t="n">
        <v>46316.641282565</v>
      </c>
      <c r="B51" s="11" t="inlineStr">
        <is>
          <t>ยังไม่ซื้อกลับ</t>
        </is>
      </c>
      <c r="C51" s="11" t="inlineStr">
        <is>
          <t>WLD</t>
        </is>
      </c>
      <c r="D51" s="11" t="inlineStr">
        <is>
          <t>ผันผวน 5.80% เกิน 3.0%</t>
        </is>
      </c>
      <c r="E51" s="12" t="n"/>
      <c r="F51" s="11" t="inlineStr">
        <is>
          <t>{"reason": "ผันผวน 5.80% เกิน 3.0%"}</t>
        </is>
      </c>
    </row>
    <row r="52">
      <c r="A52" s="20" t="n">
        <v>46316.6412825647</v>
      </c>
      <c r="B52" s="11" t="inlineStr">
        <is>
          <t>ยังไม่ซื้อกลับ</t>
        </is>
      </c>
      <c r="C52" s="11" t="inlineStr">
        <is>
          <t>XLM</t>
        </is>
      </c>
      <c r="D52" s="11" t="inlineStr">
        <is>
          <t>ไม่มีข้อมูลความเสี่ยงล่าสุด</t>
        </is>
      </c>
      <c r="E52" s="12" t="n"/>
      <c r="F52" s="11" t="inlineStr">
        <is>
          <t>{"reason": "ไม่มีข้อมูลความเสี่ยงล่าสุด"}</t>
        </is>
      </c>
    </row>
    <row r="53">
      <c r="A53" s="20" t="n">
        <v>46316.60605882773</v>
      </c>
      <c r="B53" s="11" t="inlineStr">
        <is>
          <t>ยังไม่ซื้อกลับ</t>
        </is>
      </c>
      <c r="C53" s="11" t="inlineStr">
        <is>
          <t>EPIC</t>
        </is>
      </c>
      <c r="D53" s="11" t="inlineStr">
        <is>
          <t>ผันผวน 16.23% เกิน 3.0%</t>
        </is>
      </c>
      <c r="E53" s="12" t="n"/>
      <c r="F53" s="11" t="inlineStr">
        <is>
          <t>{"reason": "ผันผวน 16.23% เกิน 3.0%"}</t>
        </is>
      </c>
    </row>
    <row r="54">
      <c r="A54" s="20" t="n">
        <v>46316.60605882754</v>
      </c>
      <c r="B54" s="11" t="inlineStr">
        <is>
          <t>ยังไม่ซื้อกลับ</t>
        </is>
      </c>
      <c r="C54" s="11" t="inlineStr">
        <is>
          <t>WLD</t>
        </is>
      </c>
      <c r="D54" s="11" t="inlineStr">
        <is>
          <t>ผันผวน 5.84% เกิน 3.0%</t>
        </is>
      </c>
      <c r="E54" s="12" t="n"/>
      <c r="F54" s="11" t="inlineStr">
        <is>
          <t>{"reason": "ผันผวน 5.84% เกิน 3.0%"}</t>
        </is>
      </c>
    </row>
    <row r="55">
      <c r="A55" s="20" t="n">
        <v>46316.6060588272</v>
      </c>
      <c r="B55" s="11" t="inlineStr">
        <is>
          <t>ยังไม่ซื้อกลับ</t>
        </is>
      </c>
      <c r="C55" s="11" t="inlineStr">
        <is>
          <t>XLM</t>
        </is>
      </c>
      <c r="D55" s="11" t="inlineStr">
        <is>
          <t>ไม่มีข้อมูลความเสี่ยงล่าสุด</t>
        </is>
      </c>
      <c r="E55" s="12" t="n"/>
      <c r="F55" s="11" t="inlineStr">
        <is>
          <t>{"reason": "ไม่มีข้อมูลความเสี่ยงล่าสุด"}</t>
        </is>
      </c>
    </row>
    <row r="56">
      <c r="A56" s="20" t="n">
        <v>46316.5547180425</v>
      </c>
      <c r="B56" s="11" t="inlineStr">
        <is>
          <t>ยังไม่ซื้อกลับ</t>
        </is>
      </c>
      <c r="C56" s="11" t="inlineStr">
        <is>
          <t>EPIC</t>
        </is>
      </c>
      <c r="D56" s="11" t="inlineStr">
        <is>
          <t>ผันผวน 16.72% เกิน 3.0%</t>
        </is>
      </c>
      <c r="E56" s="12" t="n"/>
      <c r="F56" s="11" t="inlineStr">
        <is>
          <t>{"reason": "ผันผวน 16.72% เกิน 3.0%"}</t>
        </is>
      </c>
    </row>
    <row r="57">
      <c r="A57" s="20" t="n">
        <v>46316.55471804232</v>
      </c>
      <c r="B57" s="11" t="inlineStr">
        <is>
          <t>ยังไม่ซื้อกลับ</t>
        </is>
      </c>
      <c r="C57" s="11" t="inlineStr">
        <is>
          <t>WLD</t>
        </is>
      </c>
      <c r="D57" s="11" t="inlineStr">
        <is>
          <t>ผันผวน 5.87% เกิน 3.0%</t>
        </is>
      </c>
      <c r="E57" s="12" t="n"/>
      <c r="F57" s="11" t="inlineStr">
        <is>
          <t>{"reason": "ผันผวน 5.87% เกิน 3.0%"}</t>
        </is>
      </c>
    </row>
    <row r="58">
      <c r="A58" s="20" t="n">
        <v>46316.55471804203</v>
      </c>
      <c r="B58" s="11" t="inlineStr">
        <is>
          <t>ยังไม่ซื้อกลับ</t>
        </is>
      </c>
      <c r="C58" s="11" t="inlineStr">
        <is>
          <t>XLM</t>
        </is>
      </c>
      <c r="D58" s="11" t="inlineStr">
        <is>
          <t>ไม่มีข้อมูลความเสี่ยงล่าสุด</t>
        </is>
      </c>
      <c r="E58" s="12" t="n"/>
      <c r="F58" s="11" t="inlineStr">
        <is>
          <t>{"reason": "ไม่มีข้อมูลความเสี่ยงล่าสุด"}</t>
        </is>
      </c>
    </row>
    <row r="59">
      <c r="A59" s="20" t="n">
        <v>46316.51296266056</v>
      </c>
      <c r="B59" s="11" t="inlineStr">
        <is>
          <t>ยังไม่ซื้อกลับ</t>
        </is>
      </c>
      <c r="C59" s="11" t="inlineStr">
        <is>
          <t>EPIC</t>
        </is>
      </c>
      <c r="D59" s="11" t="inlineStr">
        <is>
          <t>ผันผวน 17.09% เกิน 3.0%</t>
        </is>
      </c>
      <c r="E59" s="12" t="n"/>
      <c r="F59" s="11" t="inlineStr">
        <is>
          <t>{"reason": "ผันผวน 17.09% เกิน 3.0%"}</t>
        </is>
      </c>
    </row>
    <row r="60">
      <c r="A60" s="20" t="n">
        <v>46316.51296266037</v>
      </c>
      <c r="B60" s="11" t="inlineStr">
        <is>
          <t>ยังไม่ซื้อกลับ</t>
        </is>
      </c>
      <c r="C60" s="11" t="inlineStr">
        <is>
          <t>WLD</t>
        </is>
      </c>
      <c r="D60" s="11" t="inlineStr">
        <is>
          <t>ผันผวน 5.94% เกิน 3.0%</t>
        </is>
      </c>
      <c r="E60" s="12" t="n"/>
      <c r="F60" s="11" t="inlineStr">
        <is>
          <t>{"reason": "ผันผวน 5.94% เกิน 3.0%"}</t>
        </is>
      </c>
    </row>
    <row r="61">
      <c r="A61" s="20" t="n">
        <v>46316.51296265999</v>
      </c>
      <c r="B61" s="11" t="inlineStr">
        <is>
          <t>ยังไม่ซื้อกลับ</t>
        </is>
      </c>
      <c r="C61" s="11" t="inlineStr">
        <is>
          <t>XLM</t>
        </is>
      </c>
      <c r="D61" s="11" t="inlineStr">
        <is>
          <t>ไม่มีข้อมูลความเสี่ยงล่าสุด</t>
        </is>
      </c>
      <c r="E61" s="12" t="n"/>
      <c r="F61" s="11" t="inlineStr">
        <is>
          <t>{"reason": "ไม่มีข้อมูลความเสี่ยงล่าสุด"}</t>
        </is>
      </c>
    </row>
    <row r="62">
      <c r="A62" s="20" t="n">
        <v>46316.47234149877</v>
      </c>
      <c r="B62" s="11" t="inlineStr">
        <is>
          <t>ยังไม่ซื้อกลับ</t>
        </is>
      </c>
      <c r="C62" s="11" t="inlineStr">
        <is>
          <t>EPIC</t>
        </is>
      </c>
      <c r="D62" s="11" t="inlineStr">
        <is>
          <t>ผันผวน 17.42% เกิน 3.0%</t>
        </is>
      </c>
      <c r="E62" s="12" t="n"/>
      <c r="F62" s="11" t="inlineStr">
        <is>
          <t>{"reason": "ผันผวน 17.42% เกิน 3.0%"}</t>
        </is>
      </c>
    </row>
    <row r="63">
      <c r="A63" s="20" t="n">
        <v>46316.47234149859</v>
      </c>
      <c r="B63" s="11" t="inlineStr">
        <is>
          <t>ยังไม่ซื้อกลับ</t>
        </is>
      </c>
      <c r="C63" s="11" t="inlineStr">
        <is>
          <t>WLD</t>
        </is>
      </c>
      <c r="D63" s="11" t="inlineStr">
        <is>
          <t>ผันผวน 5.98% เกิน 3.0%</t>
        </is>
      </c>
      <c r="E63" s="12" t="n"/>
      <c r="F63" s="11" t="inlineStr">
        <is>
          <t>{"reason": "ผันผวน 5.98% เกิน 3.0%"}</t>
        </is>
      </c>
    </row>
    <row r="64">
      <c r="A64" s="20" t="n">
        <v>46316.47234149829</v>
      </c>
      <c r="B64" s="11" t="inlineStr">
        <is>
          <t>ยังไม่ซื้อกลับ</t>
        </is>
      </c>
      <c r="C64" s="11" t="inlineStr">
        <is>
          <t>XLM</t>
        </is>
      </c>
      <c r="D64" s="11" t="inlineStr">
        <is>
          <t>ไม่มีข้อมูลความเสี่ยงล่าสุด</t>
        </is>
      </c>
      <c r="E64" s="12" t="n"/>
      <c r="F64" s="11" t="inlineStr">
        <is>
          <t>{"reason": "ไม่มีข้อมูลความเสี่ยงล่าสุด"}</t>
        </is>
      </c>
    </row>
    <row r="65">
      <c r="A65" s="20" t="n">
        <v>46316.42957780972</v>
      </c>
      <c r="B65" s="11" t="inlineStr">
        <is>
          <t>ยังไม่ซื้อกลับ</t>
        </is>
      </c>
      <c r="C65" s="11" t="inlineStr">
        <is>
          <t>EPIC</t>
        </is>
      </c>
      <c r="D65" s="11" t="inlineStr">
        <is>
          <t>ผันผวน 17.68% เกิน 3.0%</t>
        </is>
      </c>
      <c r="E65" s="12" t="n"/>
      <c r="F65" s="11" t="inlineStr">
        <is>
          <t>{"reason": "ผันผวน 17.68% เกิน 3.0%"}</t>
        </is>
      </c>
    </row>
    <row r="66">
      <c r="A66" s="20" t="n">
        <v>46316.4295778096</v>
      </c>
      <c r="B66" s="11" t="inlineStr">
        <is>
          <t>ยังไม่ซื้อกลับ</t>
        </is>
      </c>
      <c r="C66" s="11" t="inlineStr">
        <is>
          <t>WLD</t>
        </is>
      </c>
      <c r="D66" s="11" t="inlineStr">
        <is>
          <t>ผันผวน 5.95% เกิน 3.0%</t>
        </is>
      </c>
      <c r="E66" s="12" t="n"/>
      <c r="F66" s="11" t="inlineStr">
        <is>
          <t>{"reason": "ผันผวน 5.95% เกิน 3.0%"}</t>
        </is>
      </c>
    </row>
    <row r="67">
      <c r="A67" s="20" t="n">
        <v>46316.42957780926</v>
      </c>
      <c r="B67" s="11" t="inlineStr">
        <is>
          <t>ยังไม่ซื้อกลับ</t>
        </is>
      </c>
      <c r="C67" s="11" t="inlineStr">
        <is>
          <t>XLM</t>
        </is>
      </c>
      <c r="D67" s="11" t="inlineStr">
        <is>
          <t>ไม่มีข้อมูลความเสี่ยงล่าสุด</t>
        </is>
      </c>
      <c r="E67" s="12" t="n"/>
      <c r="F67" s="11" t="inlineStr">
        <is>
          <t>{"reason": "ไม่มีข้อมูลความเสี่ยงล่าสุด"}</t>
        </is>
      </c>
    </row>
    <row r="68">
      <c r="A68" s="20" t="n">
        <v>46316.38706837641</v>
      </c>
      <c r="B68" s="11" t="inlineStr">
        <is>
          <t>ยังไม่ซื้อกลับ</t>
        </is>
      </c>
      <c r="C68" s="11" t="inlineStr">
        <is>
          <t>EPIC</t>
        </is>
      </c>
      <c r="D68" s="11" t="inlineStr">
        <is>
          <t>ผันผวน 17.49% เกิน 3.0%</t>
        </is>
      </c>
      <c r="E68" s="12" t="n"/>
      <c r="F68" s="11" t="inlineStr">
        <is>
          <t>{"reason": "ผันผวน 17.49% เกิน 3.0%"}</t>
        </is>
      </c>
    </row>
    <row r="69">
      <c r="A69" s="20" t="n">
        <v>46316.38706837626</v>
      </c>
      <c r="B69" s="11" t="inlineStr">
        <is>
          <t>ยังไม่ซื้อกลับ</t>
        </is>
      </c>
      <c r="C69" s="11" t="inlineStr">
        <is>
          <t>WLD</t>
        </is>
      </c>
      <c r="D69" s="11" t="inlineStr">
        <is>
          <t>ผันผวน 5.92% เกิน 3.0%</t>
        </is>
      </c>
      <c r="E69" s="12" t="n"/>
      <c r="F69" s="11" t="inlineStr">
        <is>
          <t>{"reason": "ผันผวน 5.92% เกิน 3.0%"}</t>
        </is>
      </c>
    </row>
    <row r="70">
      <c r="A70" s="20" t="n">
        <v>46316.387068376</v>
      </c>
      <c r="B70" s="11" t="inlineStr">
        <is>
          <t>ยังไม่ซื้อกลับ</t>
        </is>
      </c>
      <c r="C70" s="11" t="inlineStr">
        <is>
          <t>XLM</t>
        </is>
      </c>
      <c r="D70" s="11" t="inlineStr">
        <is>
          <t>ไม่มีข้อมูลความเสี่ยงล่าสุด</t>
        </is>
      </c>
      <c r="E70" s="12" t="n"/>
      <c r="F70" s="11" t="inlineStr">
        <is>
          <t>{"reason": "ไม่มีข้อมูลความเสี่ยงล่าสุด"}</t>
        </is>
      </c>
    </row>
    <row r="71">
      <c r="A71" s="20" t="n">
        <v>46316.35165218356</v>
      </c>
      <c r="B71" s="11" t="inlineStr">
        <is>
          <t>ยังไม่ซื้อกลับ</t>
        </is>
      </c>
      <c r="C71" s="11" t="inlineStr">
        <is>
          <t>EPIC</t>
        </is>
      </c>
      <c r="D71" s="11" t="inlineStr">
        <is>
          <t>ผันผวน 17.41% เกิน 3.0%</t>
        </is>
      </c>
      <c r="E71" s="12" t="n"/>
      <c r="F71" s="11" t="inlineStr">
        <is>
          <t>{"reason": "ผันผวน 17.41% เกิน 3.0%"}</t>
        </is>
      </c>
    </row>
    <row r="72">
      <c r="A72" s="20" t="n">
        <v>46316.35165218344</v>
      </c>
      <c r="B72" s="11" t="inlineStr">
        <is>
          <t>ยังไม่ซื้อกลับ</t>
        </is>
      </c>
      <c r="C72" s="11" t="inlineStr">
        <is>
          <t>WLD</t>
        </is>
      </c>
      <c r="D72" s="11" t="inlineStr">
        <is>
          <t>ผันผวน 5.89% เกิน 3.0%</t>
        </is>
      </c>
      <c r="E72" s="12" t="n"/>
      <c r="F72" s="11" t="inlineStr">
        <is>
          <t>{"reason": "ผันผวน 5.89% เกิน 3.0%"}</t>
        </is>
      </c>
    </row>
    <row r="73">
      <c r="A73" s="20" t="n">
        <v>46316.35165218324</v>
      </c>
      <c r="B73" s="11" t="inlineStr">
        <is>
          <t>ยังไม่ซื้อกลับ</t>
        </is>
      </c>
      <c r="C73" s="11" t="inlineStr">
        <is>
          <t>XLM</t>
        </is>
      </c>
      <c r="D73" s="11" t="inlineStr">
        <is>
          <t>ไม่มีข้อมูลความเสี่ยงล่าสุด</t>
        </is>
      </c>
      <c r="E73" s="12" t="n"/>
      <c r="F73" s="11" t="inlineStr">
        <is>
          <t>{"reason": "ไม่มีข้อมูลความเสี่ยงล่าสุด"}</t>
        </is>
      </c>
    </row>
    <row r="74">
      <c r="A74" s="20" t="n">
        <v>46316.29974005312</v>
      </c>
      <c r="B74" s="11" t="inlineStr">
        <is>
          <t>ยังไม่ซื้อกลับ</t>
        </is>
      </c>
      <c r="C74" s="11" t="inlineStr">
        <is>
          <t>EPIC</t>
        </is>
      </c>
      <c r="D74" s="11" t="inlineStr">
        <is>
          <t>ผันผวน 17.20% เกิน 3.0%</t>
        </is>
      </c>
      <c r="E74" s="12" t="n"/>
      <c r="F74" s="11" t="inlineStr">
        <is>
          <t>{"reason": "ผันผวน 17.20% เกิน 3.0%"}</t>
        </is>
      </c>
    </row>
    <row r="75">
      <c r="A75" s="20" t="n">
        <v>46316.29974005299</v>
      </c>
      <c r="B75" s="11" t="inlineStr">
        <is>
          <t>ยังไม่ซื้อกลับ</t>
        </is>
      </c>
      <c r="C75" s="11" t="inlineStr">
        <is>
          <t>WLD</t>
        </is>
      </c>
      <c r="D75" s="11" t="inlineStr">
        <is>
          <t>ผันผวน 5.89% เกิน 3.0%</t>
        </is>
      </c>
      <c r="E75" s="12" t="n"/>
      <c r="F75" s="11" t="inlineStr">
        <is>
          <t>{"reason": "ผันผวน 5.89% เกิน 3.0%"}</t>
        </is>
      </c>
    </row>
    <row r="76">
      <c r="A76" s="20" t="n">
        <v>46316.29974005255</v>
      </c>
      <c r="B76" s="11" t="inlineStr">
        <is>
          <t>ยังไม่ซื้อกลับ</t>
        </is>
      </c>
      <c r="C76" s="11" t="inlineStr">
        <is>
          <t>XLM</t>
        </is>
      </c>
      <c r="D76" s="11" t="inlineStr">
        <is>
          <t>ไม่มีข้อมูลความเสี่ยงล่าสุด</t>
        </is>
      </c>
      <c r="E76" s="12" t="n"/>
      <c r="F76" s="11" t="inlineStr">
        <is>
          <t>{"reason": "ไม่มีข้อมูลความเสี่ยงล่าสุด"}</t>
        </is>
      </c>
    </row>
    <row r="77">
      <c r="A77" s="20" t="n">
        <v>46316.26023154776</v>
      </c>
      <c r="B77" s="11" t="inlineStr">
        <is>
          <t>ยังไม่ซื้อกลับ</t>
        </is>
      </c>
      <c r="C77" s="11" t="inlineStr">
        <is>
          <t>EPIC</t>
        </is>
      </c>
      <c r="D77" s="11" t="inlineStr">
        <is>
          <t>ผันผวน 16.94% เกิน 3.0%</t>
        </is>
      </c>
      <c r="E77" s="12" t="n"/>
      <c r="F77" s="11" t="inlineStr">
        <is>
          <t>{"reason": "ผันผวน 16.94% เกิน 3.0%"}</t>
        </is>
      </c>
    </row>
    <row r="78">
      <c r="A78" s="20" t="n">
        <v>46316.26023154762</v>
      </c>
      <c r="B78" s="11" t="inlineStr">
        <is>
          <t>ยังไม่ซื้อกลับ</t>
        </is>
      </c>
      <c r="C78" s="11" t="inlineStr">
        <is>
          <t>WLD</t>
        </is>
      </c>
      <c r="D78" s="11" t="inlineStr">
        <is>
          <t>ผันผวน 5.89% เกิน 3.0%</t>
        </is>
      </c>
      <c r="E78" s="12" t="n"/>
      <c r="F78" s="11" t="inlineStr">
        <is>
          <t>{"reason": "ผันผวน 5.89% เกิน 3.0%"}</t>
        </is>
      </c>
    </row>
    <row r="79">
      <c r="A79" s="20" t="n">
        <v>46316.26023154743</v>
      </c>
      <c r="B79" s="11" t="inlineStr">
        <is>
          <t>ยังไม่ซื้อกลับ</t>
        </is>
      </c>
      <c r="C79" s="11" t="inlineStr">
        <is>
          <t>XLM</t>
        </is>
      </c>
      <c r="D79" s="11" t="inlineStr">
        <is>
          <t>ไม่มีข้อมูลความเสี่ยงล่าสุด</t>
        </is>
      </c>
      <c r="E79" s="12" t="n"/>
      <c r="F79" s="11" t="inlineStr">
        <is>
          <t>{"reason": "ไม่มีข้อมูลความเสี่ยงล่าสุด"}</t>
        </is>
      </c>
    </row>
    <row r="80">
      <c r="A80" s="20" t="n">
        <v>46316.22015802491</v>
      </c>
      <c r="B80" s="11" t="inlineStr">
        <is>
          <t>ยังไม่ซื้อกลับ</t>
        </is>
      </c>
      <c r="C80" s="11" t="inlineStr">
        <is>
          <t>EPIC</t>
        </is>
      </c>
      <c r="D80" s="11" t="inlineStr">
        <is>
          <t>ผันผวน 16.65% เกิน 3.0%</t>
        </is>
      </c>
      <c r="E80" s="12" t="n"/>
      <c r="F80" s="11" t="inlineStr">
        <is>
          <t>{"reason": "ผันผวน 16.65% เกิน 3.0%"}</t>
        </is>
      </c>
    </row>
    <row r="81">
      <c r="A81" s="20" t="n">
        <v>46316.22015802476</v>
      </c>
      <c r="B81" s="11" t="inlineStr">
        <is>
          <t>ยังไม่ซื้อกลับ</t>
        </is>
      </c>
      <c r="C81" s="11" t="inlineStr">
        <is>
          <t>WLD</t>
        </is>
      </c>
      <c r="D81" s="11" t="inlineStr">
        <is>
          <t>ผันผวน 5.83% เกิน 3.0%</t>
        </is>
      </c>
      <c r="E81" s="12" t="n"/>
      <c r="F81" s="11" t="inlineStr">
        <is>
          <t>{"reason": "ผันผวน 5.83% เกิน 3.0%"}</t>
        </is>
      </c>
    </row>
    <row r="82">
      <c r="A82" s="20" t="n">
        <v>46316.22015802455</v>
      </c>
      <c r="B82" s="11" t="inlineStr">
        <is>
          <t>ยังไม่ซื้อกลับ</t>
        </is>
      </c>
      <c r="C82" s="11" t="inlineStr">
        <is>
          <t>XLM</t>
        </is>
      </c>
      <c r="D82" s="11" t="inlineStr">
        <is>
          <t>ไม่มีข้อมูลความเสี่ยงล่าสุด</t>
        </is>
      </c>
      <c r="E82" s="12" t="n"/>
      <c r="F82" s="11" t="inlineStr">
        <is>
          <t>{"reason": "ไม่มีข้อมูลความเสี่ยงล่าสุด"}</t>
        </is>
      </c>
    </row>
    <row r="83">
      <c r="A83" s="20" t="n">
        <v>46316.17944850911</v>
      </c>
      <c r="B83" s="11" t="inlineStr">
        <is>
          <t>ยังไม่ซื้อกลับ</t>
        </is>
      </c>
      <c r="C83" s="11" t="inlineStr">
        <is>
          <t>EPIC</t>
        </is>
      </c>
      <c r="D83" s="11" t="inlineStr">
        <is>
          <t>ผันผวน 16.37% เกิน 3.0%</t>
        </is>
      </c>
      <c r="E83" s="12" t="n"/>
      <c r="F83" s="11" t="inlineStr">
        <is>
          <t>{"reason": "ผันผวน 16.37% เกิน 3.0%"}</t>
        </is>
      </c>
    </row>
    <row r="84">
      <c r="A84" s="20" t="n">
        <v>46316.17944850893</v>
      </c>
      <c r="B84" s="11" t="inlineStr">
        <is>
          <t>ยังไม่ซื้อกลับ</t>
        </is>
      </c>
      <c r="C84" s="11" t="inlineStr">
        <is>
          <t>WLD</t>
        </is>
      </c>
      <c r="D84" s="11" t="inlineStr">
        <is>
          <t>เพิ่งขายไป 23 ชม. (ต้องรอครบ 24 ชม.)</t>
        </is>
      </c>
      <c r="E84" s="12" t="n"/>
      <c r="F84" s="11" t="inlineStr">
        <is>
          <t>{"reason": "เพิ่งขายไป 23 ชม. (ต้องรอครบ 24 ชม.)"}</t>
        </is>
      </c>
    </row>
    <row r="85">
      <c r="A85" s="20" t="n">
        <v>46316.17944850874</v>
      </c>
      <c r="B85" s="11" t="inlineStr">
        <is>
          <t>ยังไม่ซื้อกลับ</t>
        </is>
      </c>
      <c r="C85" s="11" t="inlineStr">
        <is>
          <t>XLM</t>
        </is>
      </c>
      <c r="D85" s="11" t="inlineStr">
        <is>
          <t>ไม่มีข้อมูลความเสี่ยงล่าสุด</t>
        </is>
      </c>
      <c r="E85" s="12" t="n"/>
      <c r="F85" s="11" t="inlineStr">
        <is>
          <t>{"reason": "ไม่มีข้อมูลความเสี่ยงล่าสุด"}</t>
        </is>
      </c>
    </row>
    <row r="86">
      <c r="A86" s="20" t="n">
        <v>46316.1356892033</v>
      </c>
      <c r="B86" s="11" t="inlineStr">
        <is>
          <t>ยังไม่ซื้อกลับ</t>
        </is>
      </c>
      <c r="C86" s="11" t="inlineStr">
        <is>
          <t>EPIC</t>
        </is>
      </c>
      <c r="D86" s="11" t="inlineStr">
        <is>
          <t>ผันผวน 15.80% เกิน 3.0%</t>
        </is>
      </c>
      <c r="E86" s="12" t="n"/>
      <c r="F86" s="11" t="inlineStr">
        <is>
          <t>{"reason": "ผันผวน 15.80% เกิน 3.0%"}</t>
        </is>
      </c>
    </row>
    <row r="87">
      <c r="A87" s="20" t="n">
        <v>46316.13568920316</v>
      </c>
      <c r="B87" s="11" t="inlineStr">
        <is>
          <t>ยังไม่ซื้อกลับ</t>
        </is>
      </c>
      <c r="C87" s="11" t="inlineStr">
        <is>
          <t>WLD</t>
        </is>
      </c>
      <c r="D87" s="11" t="inlineStr">
        <is>
          <t>เพิ่งขายไป 22 ชม. (ต้องรอครบ 24 ชม.)</t>
        </is>
      </c>
      <c r="E87" s="12" t="n"/>
      <c r="F87" s="11" t="inlineStr">
        <is>
          <t>{"reason": "เพิ่งขายไป 22 ชม. (ต้องรอครบ 24 ชม.)"}</t>
        </is>
      </c>
    </row>
    <row r="88">
      <c r="A88" s="20" t="n">
        <v>46316.13568920297</v>
      </c>
      <c r="B88" s="11" t="inlineStr">
        <is>
          <t>ยังไม่ซื้อกลับ</t>
        </is>
      </c>
      <c r="C88" s="11" t="inlineStr">
        <is>
          <t>XLM</t>
        </is>
      </c>
      <c r="D88" s="11" t="inlineStr">
        <is>
          <t>ไม่มีข้อมูลความเสี่ยงล่าสุด</t>
        </is>
      </c>
      <c r="E88" s="12" t="n"/>
      <c r="F88" s="11" t="inlineStr">
        <is>
          <t>{"reason": "ไม่มีข้อมูลความเสี่ยงล่าสุด"}</t>
        </is>
      </c>
    </row>
    <row r="89">
      <c r="A89" s="20" t="n">
        <v>46316.09991196396</v>
      </c>
      <c r="B89" s="11" t="inlineStr">
        <is>
          <t>ยังไม่ซื้อกลับ</t>
        </is>
      </c>
      <c r="C89" s="11" t="inlineStr">
        <is>
          <t>EPIC</t>
        </is>
      </c>
      <c r="D89" s="11" t="inlineStr">
        <is>
          <t>ผันผวน 15.76% เกิน 3.0%</t>
        </is>
      </c>
      <c r="E89" s="12" t="n"/>
      <c r="F89" s="11" t="inlineStr">
        <is>
          <t>{"reason": "ผันผวน 15.76% เกิน 3.0%"}</t>
        </is>
      </c>
    </row>
    <row r="90">
      <c r="A90" s="20" t="n">
        <v>46316.09991196376</v>
      </c>
      <c r="B90" s="11" t="inlineStr">
        <is>
          <t>ยังไม่ซื้อกลับ</t>
        </is>
      </c>
      <c r="C90" s="11" t="inlineStr">
        <is>
          <t>WLD</t>
        </is>
      </c>
      <c r="D90" s="11" t="inlineStr">
        <is>
          <t>เพิ่งขายไป 21 ชม. (ต้องรอครบ 24 ชม.)</t>
        </is>
      </c>
      <c r="E90" s="12" t="n"/>
      <c r="F90" s="11" t="inlineStr">
        <is>
          <t>{"reason": "เพิ่งขายไป 21 ชม. (ต้องรอครบ 24 ชม.)"}</t>
        </is>
      </c>
    </row>
    <row r="91">
      <c r="A91" s="20" t="n">
        <v>46316.09991196357</v>
      </c>
      <c r="B91" s="11" t="inlineStr">
        <is>
          <t>ยังไม่ซื้อกลับ</t>
        </is>
      </c>
      <c r="C91" s="11" t="inlineStr">
        <is>
          <t>XLM</t>
        </is>
      </c>
      <c r="D91" s="11" t="inlineStr">
        <is>
          <t>ไม่มีข้อมูลความเสี่ยงล่าสุด</t>
        </is>
      </c>
      <c r="E91" s="12" t="n"/>
      <c r="F91" s="11" t="inlineStr">
        <is>
          <t>{"reason": "ไม่มีข้อมูลความเสี่ยงล่าสุด"}</t>
        </is>
      </c>
    </row>
    <row r="92">
      <c r="A92" s="20" t="n">
        <v>46316.0540844901</v>
      </c>
      <c r="B92" s="11" t="inlineStr">
        <is>
          <t>ยังไม่ซื้อกลับ</t>
        </is>
      </c>
      <c r="C92" s="11" t="inlineStr">
        <is>
          <t>EPIC</t>
        </is>
      </c>
      <c r="D92" s="11" t="inlineStr">
        <is>
          <t>ผันผวน 15.41% เกิน 3.0%</t>
        </is>
      </c>
      <c r="E92" s="12" t="n"/>
      <c r="F92" s="11" t="inlineStr">
        <is>
          <t>{"reason": "ผันผวน 15.41% เกิน 3.0%"}</t>
        </is>
      </c>
    </row>
    <row r="93">
      <c r="A93" s="20" t="n">
        <v>46316.05408448992</v>
      </c>
      <c r="B93" s="11" t="inlineStr">
        <is>
          <t>ยังไม่ซื้อกลับ</t>
        </is>
      </c>
      <c r="C93" s="11" t="inlineStr">
        <is>
          <t>WLD</t>
        </is>
      </c>
      <c r="D93" s="11" t="inlineStr">
        <is>
          <t>เพิ่งขายไป 20 ชม. (ต้องรอครบ 24 ชม.)</t>
        </is>
      </c>
      <c r="E93" s="12" t="n"/>
      <c r="F93" s="11" t="inlineStr">
        <is>
          <t>{"reason": "เพิ่งขายไป 20 ชม. (ต้องรอครบ 24 ชม.)"}</t>
        </is>
      </c>
    </row>
    <row r="94">
      <c r="A94" s="20" t="n">
        <v>46316.05408448971</v>
      </c>
      <c r="B94" s="11" t="inlineStr">
        <is>
          <t>ยังไม่ซื้อกลับ</t>
        </is>
      </c>
      <c r="C94" s="11" t="inlineStr">
        <is>
          <t>XLM</t>
        </is>
      </c>
      <c r="D94" s="11" t="inlineStr">
        <is>
          <t>ไม่มีข้อมูลความเสี่ยงล่าสุด</t>
        </is>
      </c>
      <c r="E94" s="12" t="n"/>
      <c r="F94" s="11" t="inlineStr">
        <is>
          <t>{"reason": "ไม่มีข้อมูลความเสี่ยงล่าสุด"}</t>
        </is>
      </c>
    </row>
    <row r="95">
      <c r="A95" s="20" t="n">
        <v>46316.01587795528</v>
      </c>
      <c r="B95" s="11" t="inlineStr">
        <is>
          <t>ยังไม่ซื้อกลับ</t>
        </is>
      </c>
      <c r="C95" s="11" t="inlineStr">
        <is>
          <t>EPIC</t>
        </is>
      </c>
      <c r="D95" s="11" t="inlineStr">
        <is>
          <t>ผันผวน 15.22% เกิน 3.0%</t>
        </is>
      </c>
      <c r="E95" s="12" t="n"/>
      <c r="F95" s="11" t="inlineStr">
        <is>
          <t>{"reason": "ผันผวน 15.22% เกิน 3.0%"}</t>
        </is>
      </c>
    </row>
    <row r="96">
      <c r="A96" s="20" t="n">
        <v>46316.01587795513</v>
      </c>
      <c r="B96" s="11" t="inlineStr">
        <is>
          <t>ยังไม่ซื้อกลับ</t>
        </is>
      </c>
      <c r="C96" s="11" t="inlineStr">
        <is>
          <t>WLD</t>
        </is>
      </c>
      <c r="D96" s="11" t="inlineStr">
        <is>
          <t>เพิ่งขายไป 19 ชม. (ต้องรอครบ 24 ชม.)</t>
        </is>
      </c>
      <c r="E96" s="12" t="n"/>
      <c r="F96" s="11" t="inlineStr">
        <is>
          <t>{"reason": "เพิ่งขายไป 19 ชม. (ต้องรอครบ 24 ชม.)"}</t>
        </is>
      </c>
    </row>
    <row r="97">
      <c r="A97" s="20" t="n">
        <v>46316.01587795495</v>
      </c>
      <c r="B97" s="11" t="inlineStr">
        <is>
          <t>ยังไม่ซื้อกลับ</t>
        </is>
      </c>
      <c r="C97" s="11" t="inlineStr">
        <is>
          <t>XLM</t>
        </is>
      </c>
      <c r="D97" s="11" t="inlineStr">
        <is>
          <t>ไม่มีข้อมูลความเสี่ยงล่าสุด</t>
        </is>
      </c>
      <c r="E97" s="12" t="n"/>
      <c r="F97" s="11" t="inlineStr">
        <is>
          <t>{"reason": "ไม่มีข้อมูลความเสี่ยงล่าสุด"}</t>
        </is>
      </c>
    </row>
    <row r="98">
      <c r="A98" s="20" t="n">
        <v>46315.97324021803</v>
      </c>
      <c r="B98" s="11" t="inlineStr">
        <is>
          <t>ยังไม่ซื้อกลับ</t>
        </is>
      </c>
      <c r="C98" s="11" t="inlineStr">
        <is>
          <t>EPIC</t>
        </is>
      </c>
      <c r="D98" s="11" t="inlineStr">
        <is>
          <t>ผันผวน 14.91% เกิน 3.0%</t>
        </is>
      </c>
      <c r="E98" s="12" t="n"/>
      <c r="F98" s="11" t="inlineStr">
        <is>
          <t>{"reason": "ผันผวน 14.91% เกิน 3.0%"}</t>
        </is>
      </c>
    </row>
    <row r="99">
      <c r="A99" s="20" t="n">
        <v>46315.97324021789</v>
      </c>
      <c r="B99" s="11" t="inlineStr">
        <is>
          <t>ยังไม่ซื้อกลับ</t>
        </is>
      </c>
      <c r="C99" s="11" t="inlineStr">
        <is>
          <t>WLD</t>
        </is>
      </c>
      <c r="D99" s="11" t="inlineStr">
        <is>
          <t>เพิ่งขายไป 18 ชม. (ต้องรอครบ 24 ชม.)</t>
        </is>
      </c>
      <c r="E99" s="12" t="n"/>
      <c r="F99" s="11" t="inlineStr">
        <is>
          <t>{"reason": "เพิ่งขายไป 18 ชม. (ต้องรอครบ 24 ชม.)"}</t>
        </is>
      </c>
    </row>
    <row r="100">
      <c r="A100" s="20" t="n">
        <v>46315.97324021771</v>
      </c>
      <c r="B100" s="11" t="inlineStr">
        <is>
          <t>ยังไม่ซื้อกลับ</t>
        </is>
      </c>
      <c r="C100" s="11" t="inlineStr">
        <is>
          <t>XLM</t>
        </is>
      </c>
      <c r="D100" s="11" t="inlineStr">
        <is>
          <t>ไม่มีข้อมูลความเสี่ยงล่าสุด</t>
        </is>
      </c>
      <c r="E100" s="12" t="n"/>
      <c r="F100" s="11" t="inlineStr">
        <is>
          <t>{"reason": "ไม่มีข้อมูลความเสี่ยงล่าสุด"}</t>
        </is>
      </c>
    </row>
    <row r="101">
      <c r="A101" s="20" t="n">
        <v>46315.9316405575</v>
      </c>
      <c r="B101" s="11" t="inlineStr">
        <is>
          <t>ยังไม่ซื้อกลับ</t>
        </is>
      </c>
      <c r="C101" s="11" t="inlineStr">
        <is>
          <t>EPIC</t>
        </is>
      </c>
      <c r="D101" s="11" t="inlineStr">
        <is>
          <t>ผันผวน 14.37% เกิน 3.0%</t>
        </is>
      </c>
      <c r="E101" s="12" t="n"/>
      <c r="F101" s="11" t="inlineStr">
        <is>
          <t>{"reason": "ผันผวน 14.37% เกิน 3.0%"}</t>
        </is>
      </c>
    </row>
    <row r="102">
      <c r="A102" s="20" t="n">
        <v>46315.93164055731</v>
      </c>
      <c r="B102" s="11" t="inlineStr">
        <is>
          <t>ยังไม่ซื้อกลับ</t>
        </is>
      </c>
      <c r="C102" s="11" t="inlineStr">
        <is>
          <t>WLD</t>
        </is>
      </c>
      <c r="D102" s="11" t="inlineStr">
        <is>
          <t>เพิ่งขายไป 17 ชม. (ต้องรอครบ 24 ชม.)</t>
        </is>
      </c>
      <c r="E102" s="12" t="n"/>
      <c r="F102" s="11" t="inlineStr">
        <is>
          <t>{"reason": "เพิ่งขายไป 17 ชม. (ต้องรอครบ 24 ชม.)"}</t>
        </is>
      </c>
    </row>
    <row r="103">
      <c r="A103" s="20" t="n">
        <v>46315.93164055709</v>
      </c>
      <c r="B103" s="11" t="inlineStr">
        <is>
          <t>ยังไม่ซื้อกลับ</t>
        </is>
      </c>
      <c r="C103" s="11" t="inlineStr">
        <is>
          <t>XLM</t>
        </is>
      </c>
      <c r="D103" s="11" t="inlineStr">
        <is>
          <t>ไม่มีข้อมูลความเสี่ยงล่าสุด</t>
        </is>
      </c>
      <c r="E103" s="12" t="n"/>
      <c r="F103" s="11" t="inlineStr">
        <is>
          <t>{"reason": "ไม่มีข้อมูลความเสี่ยงล่าสุด"}</t>
        </is>
      </c>
    </row>
    <row r="104">
      <c r="A104" s="20" t="n">
        <v>46315.89010115452</v>
      </c>
      <c r="B104" s="11" t="inlineStr">
        <is>
          <t>ยังไม่ซื้อกลับ</t>
        </is>
      </c>
      <c r="C104" s="11" t="inlineStr">
        <is>
          <t>EPIC</t>
        </is>
      </c>
      <c r="D104" s="11" t="inlineStr">
        <is>
          <t>ผันผวน 13.80% เกิน 3.0%</t>
        </is>
      </c>
      <c r="E104" s="12" t="n"/>
      <c r="F104" s="11" t="inlineStr">
        <is>
          <t>{"reason": "ผันผวน 13.80% เกิน 3.0%"}</t>
        </is>
      </c>
    </row>
    <row r="105">
      <c r="A105" s="20" t="n">
        <v>46315.89010115433</v>
      </c>
      <c r="B105" s="11" t="inlineStr">
        <is>
          <t>ยังไม่ซื้อกลับ</t>
        </is>
      </c>
      <c r="C105" s="11" t="inlineStr">
        <is>
          <t>WLD</t>
        </is>
      </c>
      <c r="D105" s="11" t="inlineStr">
        <is>
          <t>เพิ่งขายไป 16 ชม. (ต้องรอครบ 24 ชม.)</t>
        </is>
      </c>
      <c r="E105" s="12" t="n"/>
      <c r="F105" s="11" t="inlineStr">
        <is>
          <t>{"reason": "เพิ่งขายไป 16 ชม. (ต้องรอครบ 24 ชม.)"}</t>
        </is>
      </c>
    </row>
    <row r="106">
      <c r="A106" s="20" t="n">
        <v>46315.89010115412</v>
      </c>
      <c r="B106" s="11" t="inlineStr">
        <is>
          <t>ยังไม่ซื้อกลับ</t>
        </is>
      </c>
      <c r="C106" s="11" t="inlineStr">
        <is>
          <t>XLM</t>
        </is>
      </c>
      <c r="D106" s="11" t="inlineStr">
        <is>
          <t>ไม่มีข้อมูลความเสี่ยงล่าสุด</t>
        </is>
      </c>
      <c r="E106" s="12" t="n"/>
      <c r="F106" s="11" t="inlineStr">
        <is>
          <t>{"reason": "ไม่มีข้อมูลความเสี่ยงล่าสุด"}</t>
        </is>
      </c>
    </row>
    <row r="107">
      <c r="A107" s="20" t="n">
        <v>46315.85429235284</v>
      </c>
      <c r="B107" s="11" t="inlineStr">
        <is>
          <t>ยังไม่ซื้อกลับ</t>
        </is>
      </c>
      <c r="C107" s="11" t="inlineStr">
        <is>
          <t>EPIC</t>
        </is>
      </c>
      <c r="D107" s="11" t="inlineStr">
        <is>
          <t>ผันผวน 13.19% เกิน 3.0%</t>
        </is>
      </c>
      <c r="E107" s="12" t="n"/>
      <c r="F107" s="11" t="inlineStr">
        <is>
          <t>{"reason": "ผันผวน 13.19% เกิน 3.0%"}</t>
        </is>
      </c>
    </row>
    <row r="108">
      <c r="A108" s="20" t="n">
        <v>46315.85429235265</v>
      </c>
      <c r="B108" s="11" t="inlineStr">
        <is>
          <t>ยังไม่ซื้อกลับ</t>
        </is>
      </c>
      <c r="C108" s="11" t="inlineStr">
        <is>
          <t>WLD</t>
        </is>
      </c>
      <c r="D108" s="11" t="inlineStr">
        <is>
          <t>เพิ่งขายไป 15 ชม. (ต้องรอครบ 24 ชม.)</t>
        </is>
      </c>
      <c r="E108" s="12" t="n"/>
      <c r="F108" s="11" t="inlineStr">
        <is>
          <t>{"reason": "เพิ่งขายไป 15 ชม. (ต้องรอครบ 24 ชม.)"}</t>
        </is>
      </c>
    </row>
    <row r="109">
      <c r="A109" s="20" t="n">
        <v>46315.85429235248</v>
      </c>
      <c r="B109" s="11" t="inlineStr">
        <is>
          <t>ยังไม่ซื้อกลับ</t>
        </is>
      </c>
      <c r="C109" s="11" t="inlineStr">
        <is>
          <t>XLM</t>
        </is>
      </c>
      <c r="D109" s="11" t="inlineStr">
        <is>
          <t>ไม่มีข้อมูลความเสี่ยงล่าสุด</t>
        </is>
      </c>
      <c r="E109" s="12" t="n"/>
      <c r="F109" s="11" t="inlineStr">
        <is>
          <t>{"reason": "ไม่มีข้อมูลความเสี่ยงล่าสุด"}</t>
        </is>
      </c>
    </row>
    <row r="110">
      <c r="A110" s="20" t="n">
        <v>46315.80369900812</v>
      </c>
      <c r="B110" s="11" t="inlineStr">
        <is>
          <t>ยังไม่ซื้อกลับ</t>
        </is>
      </c>
      <c r="C110" s="11" t="inlineStr">
        <is>
          <t>EPIC</t>
        </is>
      </c>
      <c r="D110" s="11" t="inlineStr">
        <is>
          <t>ผันผวน 12.48% เกิน 3.0%</t>
        </is>
      </c>
      <c r="E110" s="12" t="n"/>
      <c r="F110" s="11" t="inlineStr">
        <is>
          <t>{"reason": "ผันผวน 12.48% เกิน 3.0%"}</t>
        </is>
      </c>
    </row>
    <row r="111">
      <c r="A111" s="20" t="n">
        <v>46315.80369900794</v>
      </c>
      <c r="B111" s="11" t="inlineStr">
        <is>
          <t>ยังไม่ซื้อกลับ</t>
        </is>
      </c>
      <c r="C111" s="11" t="inlineStr">
        <is>
          <t>WLD</t>
        </is>
      </c>
      <c r="D111" s="11" t="inlineStr">
        <is>
          <t>เพิ่งขายไป 14 ชม. (ต้องรอครบ 24 ชม.)</t>
        </is>
      </c>
      <c r="E111" s="12" t="n"/>
      <c r="F111" s="11" t="inlineStr">
        <is>
          <t>{"reason": "เพิ่งขายไป 14 ชม. (ต้องรอครบ 24 ชม.)"}</t>
        </is>
      </c>
    </row>
    <row r="112">
      <c r="A112" s="20" t="n">
        <v>46315.80369900775</v>
      </c>
      <c r="B112" s="11" t="inlineStr">
        <is>
          <t>ยังไม่ซื้อกลับ</t>
        </is>
      </c>
      <c r="C112" s="11" t="inlineStr">
        <is>
          <t>XLM</t>
        </is>
      </c>
      <c r="D112" s="11" t="inlineStr">
        <is>
          <t>ไม่มีข้อมูลความเสี่ยงล่าสุด</t>
        </is>
      </c>
      <c r="E112" s="12" t="n"/>
      <c r="F112" s="11" t="inlineStr">
        <is>
          <t>{"reason": "ไม่มีข้อมูลความเสี่ยงล่าสุด"}</t>
        </is>
      </c>
    </row>
    <row r="113">
      <c r="A113" s="20" t="n">
        <v>46315.76272305643</v>
      </c>
      <c r="B113" s="11" t="inlineStr">
        <is>
          <t>ยังไม่ซื้อกลับ</t>
        </is>
      </c>
      <c r="C113" s="11" t="inlineStr">
        <is>
          <t>EPIC</t>
        </is>
      </c>
      <c r="D113" s="11" t="inlineStr">
        <is>
          <t>ผันผวน 11.91% เกิน 3.0%</t>
        </is>
      </c>
      <c r="E113" s="12" t="n"/>
      <c r="F113" s="11" t="inlineStr">
        <is>
          <t>{"reason": "ผันผวน 11.91% เกิน 3.0%"}</t>
        </is>
      </c>
    </row>
    <row r="114">
      <c r="A114" s="20" t="n">
        <v>46315.76272305623</v>
      </c>
      <c r="B114" s="11" t="inlineStr">
        <is>
          <t>ยังไม่ซื้อกลับ</t>
        </is>
      </c>
      <c r="C114" s="11" t="inlineStr">
        <is>
          <t>WLD</t>
        </is>
      </c>
      <c r="D114" s="11" t="inlineStr">
        <is>
          <t>เพิ่งขายไป 13 ชม. (ต้องรอครบ 24 ชม.)</t>
        </is>
      </c>
      <c r="E114" s="12" t="n"/>
      <c r="F114" s="11" t="inlineStr">
        <is>
          <t>{"reason": "เพิ่งขายไป 13 ชม. (ต้องรอครบ 24 ชม.)"}</t>
        </is>
      </c>
    </row>
    <row r="115">
      <c r="A115" s="20" t="n">
        <v>46315.76272305602</v>
      </c>
      <c r="B115" s="11" t="inlineStr">
        <is>
          <t>ยังไม่ซื้อกลับ</t>
        </is>
      </c>
      <c r="C115" s="11" t="inlineStr">
        <is>
          <t>XLM</t>
        </is>
      </c>
      <c r="D115" s="11" t="inlineStr">
        <is>
          <t>ไม่มีข้อมูลความเสี่ยงล่าสุด</t>
        </is>
      </c>
      <c r="E115" s="12" t="n"/>
      <c r="F115" s="11" t="inlineStr">
        <is>
          <t>{"reason": "ไม่มีข้อมูลความเสี่ยงล่าสุด"}</t>
        </is>
      </c>
    </row>
    <row r="116">
      <c r="A116" s="20" t="n">
        <v>46315.71955932903</v>
      </c>
      <c r="B116" s="11" t="inlineStr">
        <is>
          <t>ยังไม่ซื้อกลับ</t>
        </is>
      </c>
      <c r="C116" s="11" t="inlineStr">
        <is>
          <t>EPIC</t>
        </is>
      </c>
      <c r="D116" s="11" t="inlineStr">
        <is>
          <t>ผันผวน 11.14% เกิน 3.0%</t>
        </is>
      </c>
      <c r="E116" s="12" t="n"/>
      <c r="F116" s="11" t="inlineStr">
        <is>
          <t>{"reason": "ผันผวน 11.14% เกิน 3.0%"}</t>
        </is>
      </c>
    </row>
    <row r="117">
      <c r="A117" s="20" t="n">
        <v>46315.71955932883</v>
      </c>
      <c r="B117" s="11" t="inlineStr">
        <is>
          <t>ยังไม่ซื้อกลับ</t>
        </is>
      </c>
      <c r="C117" s="11" t="inlineStr">
        <is>
          <t>WLD</t>
        </is>
      </c>
      <c r="D117" s="11" t="inlineStr">
        <is>
          <t>เพิ่งขายไป 12 ชม. (ต้องรอครบ 24 ชม.)</t>
        </is>
      </c>
      <c r="E117" s="12" t="n"/>
      <c r="F117" s="11" t="inlineStr">
        <is>
          <t>{"reason": "เพิ่งขายไป 12 ชม. (ต้องรอครบ 24 ชม.)"}</t>
        </is>
      </c>
    </row>
    <row r="118">
      <c r="A118" s="20" t="n">
        <v>46315.71955932864</v>
      </c>
      <c r="B118" s="11" t="inlineStr">
        <is>
          <t>ยังไม่ซื้อกลับ</t>
        </is>
      </c>
      <c r="C118" s="11" t="inlineStr">
        <is>
          <t>XLM</t>
        </is>
      </c>
      <c r="D118" s="11" t="inlineStr">
        <is>
          <t>ไม่มีข้อมูลความเสี่ยงล่าสุด</t>
        </is>
      </c>
      <c r="E118" s="12" t="n"/>
      <c r="F118" s="11" t="inlineStr">
        <is>
          <t>{"reason": "ไม่มีข้อมูลความเสี่ยงล่าสุด"}</t>
        </is>
      </c>
    </row>
    <row r="119">
      <c r="A119" s="20" t="n">
        <v>46315.68112073544</v>
      </c>
      <c r="B119" s="11" t="inlineStr">
        <is>
          <t>ยังไม่ซื้อกลับ</t>
        </is>
      </c>
      <c r="C119" s="11" t="inlineStr">
        <is>
          <t>EPIC</t>
        </is>
      </c>
      <c r="D119" s="11" t="inlineStr">
        <is>
          <t>ผันผวน 10.21% เกิน 3.0%</t>
        </is>
      </c>
      <c r="E119" s="12" t="n"/>
      <c r="F119" s="11" t="inlineStr">
        <is>
          <t>{"reason": "ผันผวน 10.21% เกิน 3.0%"}</t>
        </is>
      </c>
    </row>
    <row r="120">
      <c r="A120" s="20" t="n">
        <v>46315.68112073524</v>
      </c>
      <c r="B120" s="11" t="inlineStr">
        <is>
          <t>ยังไม่ซื้อกลับ</t>
        </is>
      </c>
      <c r="C120" s="11" t="inlineStr">
        <is>
          <t>WLD</t>
        </is>
      </c>
      <c r="D120" s="11" t="inlineStr">
        <is>
          <t>เพิ่งขายไป 11 ชม. (ต้องรอครบ 24 ชม.)</t>
        </is>
      </c>
      <c r="E120" s="12" t="n"/>
      <c r="F120" s="11" t="inlineStr">
        <is>
          <t>{"reason": "เพิ่งขายไป 11 ชม. (ต้องรอครบ 24 ชม.)"}</t>
        </is>
      </c>
    </row>
    <row r="121">
      <c r="A121" s="20" t="n">
        <v>46315.68112073505</v>
      </c>
      <c r="B121" s="11" t="inlineStr">
        <is>
          <t>ยังไม่ซื้อกลับ</t>
        </is>
      </c>
      <c r="C121" s="11" t="inlineStr">
        <is>
          <t>XLM</t>
        </is>
      </c>
      <c r="D121" s="11" t="inlineStr">
        <is>
          <t>ไม่มีข้อมูลความเสี่ยงล่าสุด</t>
        </is>
      </c>
      <c r="E121" s="12" t="n"/>
      <c r="F121" s="11" t="inlineStr">
        <is>
          <t>{"reason": "ไม่มีข้อมูลความเสี่ยงล่าสุด"}</t>
        </is>
      </c>
    </row>
    <row r="122">
      <c r="A122" s="20" t="n">
        <v>46315.63960922322</v>
      </c>
      <c r="B122" s="11" t="inlineStr">
        <is>
          <t>ยังไม่ซื้อกลับ</t>
        </is>
      </c>
      <c r="C122" s="11" t="inlineStr">
        <is>
          <t>EPIC</t>
        </is>
      </c>
      <c r="D122" s="11" t="inlineStr">
        <is>
          <t>ผันผวน 8.94% เกิน 3.0%</t>
        </is>
      </c>
      <c r="E122" s="12" t="n"/>
      <c r="F122" s="11" t="inlineStr">
        <is>
          <t>{"reason": "ผันผวน 8.94% เกิน 3.0%"}</t>
        </is>
      </c>
    </row>
    <row r="123">
      <c r="A123" s="20" t="n">
        <v>46315.63960922309</v>
      </c>
      <c r="B123" s="11" t="inlineStr">
        <is>
          <t>ยังไม่ซื้อกลับ</t>
        </is>
      </c>
      <c r="C123" s="11" t="inlineStr">
        <is>
          <t>WLD</t>
        </is>
      </c>
      <c r="D123" s="11" t="inlineStr">
        <is>
          <t>เพิ่งขายไป 10 ชม. (ต้องรอครบ 24 ชม.)</t>
        </is>
      </c>
      <c r="E123" s="12" t="n"/>
      <c r="F123" s="11" t="inlineStr">
        <is>
          <t>{"reason": "เพิ่งขายไป 10 ชม. (ต้องรอครบ 24 ชม.)"}</t>
        </is>
      </c>
    </row>
    <row r="124">
      <c r="A124" s="20" t="n">
        <v>46315.63960922294</v>
      </c>
      <c r="B124" s="11" t="inlineStr">
        <is>
          <t>ยังไม่ซื้อกลับ</t>
        </is>
      </c>
      <c r="C124" s="11" t="inlineStr">
        <is>
          <t>XLM</t>
        </is>
      </c>
      <c r="D124" s="11" t="inlineStr">
        <is>
          <t>ไม่มีข้อมูลความเสี่ยงล่าสุด</t>
        </is>
      </c>
      <c r="E124" s="12" t="n"/>
      <c r="F124" s="11" t="inlineStr">
        <is>
          <t>{"reason": "ไม่มีข้อมูลความเสี่ยงล่าสุด"}</t>
        </is>
      </c>
    </row>
    <row r="125">
      <c r="A125" s="20" t="n">
        <v>46315.60438504234</v>
      </c>
      <c r="B125" s="11" t="inlineStr">
        <is>
          <t>ยังไม่ซื้อกลับ</t>
        </is>
      </c>
      <c r="C125" s="11" t="inlineStr">
        <is>
          <t>EPIC</t>
        </is>
      </c>
      <c r="D125" s="11" t="inlineStr">
        <is>
          <t>ผันผวน 8.09% เกิน 3.0%</t>
        </is>
      </c>
      <c r="E125" s="12" t="n"/>
      <c r="F125" s="11" t="inlineStr">
        <is>
          <t>{"reason": "ผันผวน 8.09% เกิน 3.0%"}</t>
        </is>
      </c>
    </row>
    <row r="126">
      <c r="A126" s="20" t="n">
        <v>46315.60438504213</v>
      </c>
      <c r="B126" s="11" t="inlineStr">
        <is>
          <t>ยังไม่ซื้อกลับ</t>
        </is>
      </c>
      <c r="C126" s="11" t="inlineStr">
        <is>
          <t>WLD</t>
        </is>
      </c>
      <c r="D126" s="11" t="inlineStr">
        <is>
          <t>เพิ่งขายไป 9 ชม. (ต้องรอครบ 24 ชม.)</t>
        </is>
      </c>
      <c r="E126" s="12" t="n"/>
      <c r="F126" s="11" t="inlineStr">
        <is>
          <t>{"reason": "เพิ่งขายไป 9 ชม. (ต้องรอครบ 24 ชม.)"}</t>
        </is>
      </c>
    </row>
    <row r="127">
      <c r="A127" s="20" t="n">
        <v>46315.60438504193</v>
      </c>
      <c r="B127" s="11" t="inlineStr">
        <is>
          <t>ยังไม่ซื้อกลับ</t>
        </is>
      </c>
      <c r="C127" s="11" t="inlineStr">
        <is>
          <t>XLM</t>
        </is>
      </c>
      <c r="D127" s="11" t="inlineStr">
        <is>
          <t>ไม่มีข้อมูลความเสี่ยงล่าสุด</t>
        </is>
      </c>
      <c r="E127" s="12" t="n"/>
      <c r="F127" s="11" t="inlineStr">
        <is>
          <t>{"reason": "ไม่มีข้อมูลความเสี่ยงล่าสุด"}</t>
        </is>
      </c>
    </row>
    <row r="128">
      <c r="A128" s="20" t="n">
        <v>46315.55370188496</v>
      </c>
      <c r="B128" s="11" t="inlineStr">
        <is>
          <t>ยังไม่ซื้อกลับ</t>
        </is>
      </c>
      <c r="C128" s="11" t="inlineStr">
        <is>
          <t>EPIC</t>
        </is>
      </c>
      <c r="D128" s="11" t="inlineStr">
        <is>
          <t>ผันผวน 7.59% เกิน 3.0%</t>
        </is>
      </c>
      <c r="E128" s="12" t="n"/>
      <c r="F128" s="11" t="inlineStr">
        <is>
          <t>{"reason": "ผันผวน 7.59% เกิน 3.0%"}</t>
        </is>
      </c>
    </row>
    <row r="129">
      <c r="A129" s="20" t="n">
        <v>46315.55370188483</v>
      </c>
      <c r="B129" s="11" t="inlineStr">
        <is>
          <t>ยังไม่ซื้อกลับ</t>
        </is>
      </c>
      <c r="C129" s="11" t="inlineStr">
        <is>
          <t>WLD</t>
        </is>
      </c>
      <c r="D129" s="11" t="inlineStr">
        <is>
          <t>เพิ่งขายไป 8 ชม. (ต้องรอครบ 24 ชม.)</t>
        </is>
      </c>
      <c r="E129" s="12" t="n"/>
      <c r="F129" s="11" t="inlineStr">
        <is>
          <t>{"reason": "เพิ่งขายไป 8 ชม. (ต้องรอครบ 24 ชม.)"}</t>
        </is>
      </c>
    </row>
    <row r="130">
      <c r="A130" s="20" t="n">
        <v>46315.55370188471</v>
      </c>
      <c r="B130" s="11" t="inlineStr">
        <is>
          <t>ยังไม่ซื้อกลับ</t>
        </is>
      </c>
      <c r="C130" s="11" t="inlineStr">
        <is>
          <t>XLM</t>
        </is>
      </c>
      <c r="D130" s="11" t="inlineStr">
        <is>
          <t>ไม่มีข้อมูลความเสี่ยงล่าสุด</t>
        </is>
      </c>
      <c r="E130" s="12" t="n"/>
      <c r="F130" s="11" t="inlineStr">
        <is>
          <t>{"reason": "ไม่มีข้อมูลความเสี่ยงล่าสุด"}</t>
        </is>
      </c>
    </row>
    <row r="131">
      <c r="A131" s="20" t="n">
        <v>46315.5120086474</v>
      </c>
      <c r="B131" s="11" t="inlineStr">
        <is>
          <t>ยังไม่ซื้อกลับ</t>
        </is>
      </c>
      <c r="C131" s="11" t="inlineStr">
        <is>
          <t>EPIC</t>
        </is>
      </c>
      <c r="D131" s="11" t="inlineStr">
        <is>
          <t>ผันผวน 6.75% เกิน 3.0%</t>
        </is>
      </c>
      <c r="E131" s="12" t="n"/>
      <c r="F131" s="11" t="inlineStr">
        <is>
          <t>{"reason": "ผันผวน 6.75% เกิน 3.0%"}</t>
        </is>
      </c>
    </row>
    <row r="132">
      <c r="A132" s="20" t="n">
        <v>46315.51200864721</v>
      </c>
      <c r="B132" s="11" t="inlineStr">
        <is>
          <t>ยังไม่ซื้อกลับ</t>
        </is>
      </c>
      <c r="C132" s="11" t="inlineStr">
        <is>
          <t>WLD</t>
        </is>
      </c>
      <c r="D132" s="11" t="inlineStr">
        <is>
          <t>เพิ่งขายไป 7 ชม. (ต้องรอครบ 24 ชม.)</t>
        </is>
      </c>
      <c r="E132" s="12" t="n"/>
      <c r="F132" s="11" t="inlineStr">
        <is>
          <t>{"reason": "เพิ่งขายไป 7 ชม. (ต้องรอครบ 24 ชม.)"}</t>
        </is>
      </c>
    </row>
    <row r="133">
      <c r="A133" s="20" t="n">
        <v>46315.51200864701</v>
      </c>
      <c r="B133" s="11" t="inlineStr">
        <is>
          <t>ยังไม่ซื้อกลับ</t>
        </is>
      </c>
      <c r="C133" s="11" t="inlineStr">
        <is>
          <t>XLM</t>
        </is>
      </c>
      <c r="D133" s="11" t="inlineStr">
        <is>
          <t>ไม่มีข้อมูลความเสี่ยงล่าสุด</t>
        </is>
      </c>
      <c r="E133" s="12" t="n"/>
      <c r="F133" s="11" t="inlineStr">
        <is>
          <t>{"reason": "ไม่มีข้อมูลความเสี่ยงล่าสุด"}</t>
        </is>
      </c>
    </row>
    <row r="134">
      <c r="A134" s="20" t="n">
        <v>46315.47120551585</v>
      </c>
      <c r="B134" s="11" t="inlineStr">
        <is>
          <t>ยังไม่ซื้อกลับ</t>
        </is>
      </c>
      <c r="C134" s="11" t="inlineStr">
        <is>
          <t>EPIC</t>
        </is>
      </c>
      <c r="D134" s="11" t="inlineStr">
        <is>
          <t>ผันผวน 5.80% เกิน 3.0%</t>
        </is>
      </c>
      <c r="E134" s="12" t="n"/>
      <c r="F134" s="11" t="inlineStr">
        <is>
          <t>{"reason": "ผันผวน 5.80% เกิน 3.0%"}</t>
        </is>
      </c>
    </row>
    <row r="135">
      <c r="A135" s="20" t="n">
        <v>46315.47120551565</v>
      </c>
      <c r="B135" s="11" t="inlineStr">
        <is>
          <t>ยังไม่ซื้อกลับ</t>
        </is>
      </c>
      <c r="C135" s="11" t="inlineStr">
        <is>
          <t>WLD</t>
        </is>
      </c>
      <c r="D135" s="11" t="inlineStr">
        <is>
          <t>เพิ่งขายไป 6 ชม. (ต้องรอครบ 24 ชม.)</t>
        </is>
      </c>
      <c r="E135" s="12" t="n"/>
      <c r="F135" s="11" t="inlineStr">
        <is>
          <t>{"reason": "เพิ่งขายไป 6 ชม. (ต้องรอครบ 24 ชม.)"}</t>
        </is>
      </c>
    </row>
    <row r="136">
      <c r="A136" s="20" t="n">
        <v>46315.47120551536</v>
      </c>
      <c r="B136" s="11" t="inlineStr">
        <is>
          <t>ยังไม่ซื้อกลับ</t>
        </is>
      </c>
      <c r="C136" s="11" t="inlineStr">
        <is>
          <t>XLM</t>
        </is>
      </c>
      <c r="D136" s="11" t="inlineStr">
        <is>
          <t>ไม่มีข้อมูลความเสี่ยงล่าสุด</t>
        </is>
      </c>
      <c r="E136" s="12" t="n"/>
      <c r="F136" s="11" t="inlineStr">
        <is>
          <t>{"reason": "ไม่มีข้อมูลความเสี่ยงล่าสุด"}</t>
        </is>
      </c>
    </row>
    <row r="137">
      <c r="A137" s="20" t="n">
        <v>46315.42913871892</v>
      </c>
      <c r="B137" s="11" t="inlineStr">
        <is>
          <t>ยังไม่ซื้อกลับ</t>
        </is>
      </c>
      <c r="C137" s="11" t="inlineStr">
        <is>
          <t>EPIC</t>
        </is>
      </c>
      <c r="D137" s="11" t="inlineStr">
        <is>
          <t>ผันผวน 5.67% เกิน 3.0%</t>
        </is>
      </c>
      <c r="E137" s="12" t="n"/>
      <c r="F137" s="11" t="inlineStr">
        <is>
          <t>{"reason": "ผันผวน 5.67% เกิน 3.0%"}</t>
        </is>
      </c>
    </row>
    <row r="138">
      <c r="A138" s="20" t="n">
        <v>46315.42913871877</v>
      </c>
      <c r="B138" s="11" t="inlineStr">
        <is>
          <t>ยังไม่ซื้อกลับ</t>
        </is>
      </c>
      <c r="C138" s="11" t="inlineStr">
        <is>
          <t>WLD</t>
        </is>
      </c>
      <c r="D138" s="11" t="inlineStr">
        <is>
          <t>เพิ่งขายไป 5 ชม. (ต้องรอครบ 24 ชม.)</t>
        </is>
      </c>
      <c r="E138" s="12" t="n"/>
      <c r="F138" s="11" t="inlineStr">
        <is>
          <t>{"reason": "เพิ่งขายไป 5 ชม. (ต้องรอครบ 24 ชม.)"}</t>
        </is>
      </c>
    </row>
    <row r="139">
      <c r="A139" s="20" t="n">
        <v>46315.4291387186</v>
      </c>
      <c r="B139" s="11" t="inlineStr">
        <is>
          <t>ยังไม่ซื้อกลับ</t>
        </is>
      </c>
      <c r="C139" s="11" t="inlineStr">
        <is>
          <t>XLM</t>
        </is>
      </c>
      <c r="D139" s="11" t="inlineStr">
        <is>
          <t>ไม่มีข้อมูลความเสี่ยงล่าสุด</t>
        </is>
      </c>
      <c r="E139" s="12" t="n"/>
      <c r="F139" s="11" t="inlineStr">
        <is>
          <t>{"reason": "ไม่มีข้อมูลความเสี่ยงล่าสุด"}</t>
        </is>
      </c>
    </row>
    <row r="140">
      <c r="A140" s="20" t="n">
        <v>46315.38601484789</v>
      </c>
      <c r="B140" s="11" t="inlineStr">
        <is>
          <t>ยังไม่ซื้อกลับ</t>
        </is>
      </c>
      <c r="C140" s="11" t="inlineStr">
        <is>
          <t>EPIC</t>
        </is>
      </c>
      <c r="D140" s="11" t="inlineStr">
        <is>
          <t>ผันผวน 5.52% เกิน 3.0%</t>
        </is>
      </c>
      <c r="E140" s="12" t="n"/>
      <c r="F140" s="11" t="inlineStr">
        <is>
          <t>{"reason": "ผันผวน 5.52% เกิน 3.0%"}</t>
        </is>
      </c>
    </row>
    <row r="141">
      <c r="A141" s="20" t="n">
        <v>46315.38601484771</v>
      </c>
      <c r="B141" s="11" t="inlineStr">
        <is>
          <t>ยังไม่ซื้อกลับ</t>
        </is>
      </c>
      <c r="C141" s="11" t="inlineStr">
        <is>
          <t>WLD</t>
        </is>
      </c>
      <c r="D141" s="11" t="inlineStr">
        <is>
          <t>เพิ่งขายไป 4 ชม. (ต้องรอครบ 24 ชม.)</t>
        </is>
      </c>
      <c r="E141" s="12" t="n"/>
      <c r="F141" s="11" t="inlineStr">
        <is>
          <t>{"reason": "เพิ่งขายไป 4 ชม. (ต้องรอครบ 24 ชม.)"}</t>
        </is>
      </c>
    </row>
    <row r="142">
      <c r="A142" s="20" t="n">
        <v>46315.38601484751</v>
      </c>
      <c r="B142" s="11" t="inlineStr">
        <is>
          <t>ยังไม่ซื้อกลับ</t>
        </is>
      </c>
      <c r="C142" s="11" t="inlineStr">
        <is>
          <t>XLM</t>
        </is>
      </c>
      <c r="D142" s="11" t="inlineStr">
        <is>
          <t>ไม่มีข้อมูลความเสี่ยงล่าสุด</t>
        </is>
      </c>
      <c r="E142" s="12" t="n"/>
      <c r="F142" s="11" t="inlineStr">
        <is>
          <t>{"reason": "ไม่มีข้อมูลความเสี่ยงล่าสุด"}</t>
        </is>
      </c>
    </row>
    <row r="143">
      <c r="A143" s="20" t="n">
        <v>46315.35080589626</v>
      </c>
      <c r="B143" s="11" t="inlineStr">
        <is>
          <t>ยังไม่ซื้อกลับ</t>
        </is>
      </c>
      <c r="C143" s="11" t="inlineStr">
        <is>
          <t>EPIC</t>
        </is>
      </c>
      <c r="D143" s="11" t="inlineStr">
        <is>
          <t>ผันผวน 5.39% เกิน 3.0%</t>
        </is>
      </c>
      <c r="E143" s="12" t="n"/>
      <c r="F143" s="11" t="inlineStr">
        <is>
          <t>{"reason": "ผันผวน 5.39% เกิน 3.0%"}</t>
        </is>
      </c>
    </row>
    <row r="144">
      <c r="A144" s="20" t="n">
        <v>46315.35080589608</v>
      </c>
      <c r="B144" s="11" t="inlineStr">
        <is>
          <t>ยังไม่ซื้อกลับ</t>
        </is>
      </c>
      <c r="C144" s="11" t="inlineStr">
        <is>
          <t>WLD</t>
        </is>
      </c>
      <c r="D144" s="11" t="inlineStr">
        <is>
          <t>เพิ่งขายไป 3 ชม. (ต้องรอครบ 24 ชม.)</t>
        </is>
      </c>
      <c r="E144" s="12" t="n"/>
      <c r="F144" s="11" t="inlineStr">
        <is>
          <t>{"reason": "เพิ่งขายไป 3 ชม. (ต้องรอครบ 24 ชม.)"}</t>
        </is>
      </c>
    </row>
    <row r="145">
      <c r="A145" s="20" t="n">
        <v>46315.35080589588</v>
      </c>
      <c r="B145" s="11" t="inlineStr">
        <is>
          <t>ยังไม่ซื้อกลับ</t>
        </is>
      </c>
      <c r="C145" s="11" t="inlineStr">
        <is>
          <t>XLM</t>
        </is>
      </c>
      <c r="D145" s="11" t="inlineStr">
        <is>
          <t>ไม่มีข้อมูลความเสี่ยงล่าสุด</t>
        </is>
      </c>
      <c r="E145" s="12" t="n"/>
      <c r="F145" s="11" t="inlineStr">
        <is>
          <t>{"reason": "ไม่มีข้อมูลความเสี่ยงล่าสุด"}</t>
        </is>
      </c>
    </row>
    <row r="146">
      <c r="A146" s="20" t="n">
        <v>46315.30079291531</v>
      </c>
      <c r="B146" s="11" t="inlineStr">
        <is>
          <t>ยังไม่ซื้อกลับ</t>
        </is>
      </c>
      <c r="C146" s="11" t="inlineStr">
        <is>
          <t>EPIC</t>
        </is>
      </c>
      <c r="D146" s="11" t="inlineStr">
        <is>
          <t>ผันผวน 5.13% เกิน 3.0%</t>
        </is>
      </c>
      <c r="E146" s="12" t="n"/>
      <c r="F146" s="11" t="inlineStr">
        <is>
          <t>{"reason": "ผันผวน 5.13% เกิน 3.0%"}</t>
        </is>
      </c>
    </row>
    <row r="147">
      <c r="A147" s="20" t="n">
        <v>46315.30079291511</v>
      </c>
      <c r="B147" s="11" t="inlineStr">
        <is>
          <t>ยังไม่ซื้อกลับ</t>
        </is>
      </c>
      <c r="C147" s="11" t="inlineStr">
        <is>
          <t>WLD</t>
        </is>
      </c>
      <c r="D147" s="11" t="inlineStr">
        <is>
          <t>เพิ่งขายไป 2 ชม. (ต้องรอครบ 24 ชม.)</t>
        </is>
      </c>
      <c r="E147" s="12" t="n"/>
      <c r="F147" s="11" t="inlineStr">
        <is>
          <t>{"reason": "เพิ่งขายไป 2 ชม. (ต้องรอครบ 24 ชม.)"}</t>
        </is>
      </c>
    </row>
    <row r="148">
      <c r="A148" s="20" t="n">
        <v>46315.30079291488</v>
      </c>
      <c r="B148" s="11" t="inlineStr">
        <is>
          <t>ยังไม่ซื้อกลับ</t>
        </is>
      </c>
      <c r="C148" s="11" t="inlineStr">
        <is>
          <t>XLM</t>
        </is>
      </c>
      <c r="D148" s="11" t="inlineStr">
        <is>
          <t>ไม่มีข้อมูลความเสี่ยงล่าสุด</t>
        </is>
      </c>
      <c r="E148" s="12" t="n"/>
      <c r="F148" s="11" t="inlineStr">
        <is>
          <t>{"reason": "ไม่มีข้อมูลความเสี่ยงล่าสุด"}</t>
        </is>
      </c>
    </row>
    <row r="149">
      <c r="A149" s="20" t="n">
        <v>46315.26114120358</v>
      </c>
      <c r="B149" s="11" t="inlineStr">
        <is>
          <t>ยังไม่ซื้อกลับ</t>
        </is>
      </c>
      <c r="C149" s="11" t="inlineStr">
        <is>
          <t>EPIC</t>
        </is>
      </c>
      <c r="D149" s="11" t="inlineStr">
        <is>
          <t>ผันผวน 5.12% เกิน 3.0%</t>
        </is>
      </c>
      <c r="E149" s="12" t="n"/>
      <c r="F149" s="11" t="inlineStr">
        <is>
          <t>{"reason": "ผันผวน 5.12% เกิน 3.0%"}</t>
        </is>
      </c>
    </row>
    <row r="150">
      <c r="A150" s="20" t="n">
        <v>46315.26114120342</v>
      </c>
      <c r="B150" s="11" t="inlineStr">
        <is>
          <t>ยังไม่ซื้อกลับ</t>
        </is>
      </c>
      <c r="C150" s="11" t="inlineStr">
        <is>
          <t>WLD</t>
        </is>
      </c>
      <c r="D150" s="11" t="inlineStr">
        <is>
          <t>เพิ่งขายไป 1 ชม. (ต้องรอครบ 24 ชม.)</t>
        </is>
      </c>
      <c r="E150" s="12" t="n"/>
      <c r="F150" s="11" t="inlineStr">
        <is>
          <t>{"reason": "เพิ่งขายไป 1 ชม. (ต้องรอครบ 24 ชม.)"}</t>
        </is>
      </c>
    </row>
    <row r="151">
      <c r="A151" s="20" t="n">
        <v>46315.26114120324</v>
      </c>
      <c r="B151" s="11" t="inlineStr">
        <is>
          <t>ยังไม่ซื้อกลับ</t>
        </is>
      </c>
      <c r="C151" s="11" t="inlineStr">
        <is>
          <t>XLM</t>
        </is>
      </c>
      <c r="D151" s="11" t="inlineStr">
        <is>
          <t>ไม่มีข้อมูลความเสี่ยงล่าสุด</t>
        </is>
      </c>
      <c r="E151" s="12" t="n"/>
      <c r="F151" s="11" t="inlineStr">
        <is>
          <t>{"reason": "ไม่มีข้อมูลความเสี่ยงล่าสุด"}</t>
        </is>
      </c>
    </row>
    <row r="152">
      <c r="A152" s="20" t="n">
        <v>46315.22000636189</v>
      </c>
      <c r="B152" s="11" t="inlineStr">
        <is>
          <t>ยังไม่ซื้อกลับ</t>
        </is>
      </c>
      <c r="C152" s="11" t="inlineStr">
        <is>
          <t>EPIC</t>
        </is>
      </c>
      <c r="D152" s="11" t="inlineStr">
        <is>
          <t>ผันผวน 5.10% เกิน 3.0%</t>
        </is>
      </c>
      <c r="E152" s="12" t="n"/>
      <c r="F152" s="11" t="inlineStr">
        <is>
          <t>{"reason": "ผันผวน 5.10% เกิน 3.0%"}</t>
        </is>
      </c>
    </row>
    <row r="153">
      <c r="A153" s="20" t="n">
        <v>46315.22000636156</v>
      </c>
      <c r="B153" s="11" t="inlineStr">
        <is>
          <t>ยังไม่ซื้อกลับ</t>
        </is>
      </c>
      <c r="C153" s="11" t="inlineStr">
        <is>
          <t>WLD</t>
        </is>
      </c>
      <c r="D153" s="11" t="inlineStr">
        <is>
          <t>รอผลวิเคราะห์รอบใหม่หลังขาย</t>
        </is>
      </c>
      <c r="E153" s="12" t="n"/>
      <c r="F153" s="11" t="inlineStr">
        <is>
          <t>{"reason": "รอผลวิเคราะห์รอบใหม่หลังขาย"}</t>
        </is>
      </c>
    </row>
    <row r="154">
      <c r="A154" s="20" t="n">
        <v>46315.22000636131</v>
      </c>
      <c r="B154" s="11" t="inlineStr">
        <is>
          <t>ยังไม่ซื้อกลับ</t>
        </is>
      </c>
      <c r="C154" s="11" t="inlineStr">
        <is>
          <t>XLM</t>
        </is>
      </c>
      <c r="D154" s="11" t="inlineStr">
        <is>
          <t>ไม่มีข้อมูลความเสี่ยงล่าสุด</t>
        </is>
      </c>
      <c r="E154" s="12" t="n"/>
      <c r="F154" s="11" t="inlineStr">
        <is>
          <t>{"reason": "ไม่มีข้อมูลความเสี่ยงล่าสุด"}</t>
        </is>
      </c>
    </row>
    <row r="155">
      <c r="A155" s="20" t="n">
        <v>46315.22000039887</v>
      </c>
      <c r="B155" s="11" t="inlineStr">
        <is>
          <t>ขาย</t>
        </is>
      </c>
      <c r="C155" s="11" t="inlineStr">
        <is>
          <t>WLD</t>
        </is>
      </c>
      <c r="D155" s="11" t="inlineStr">
        <is>
          <t>take_profit</t>
        </is>
      </c>
      <c r="E155" s="12" t="n">
        <v>52.9026</v>
      </c>
      <c r="F155" s="11" t="inlineStr">
        <is>
          <t>{"reason": "take_profit", "pnl_pct": 5.549, "proceeds_thb": 52.9026, "invested_thb": 50.0, "sell_price": 17.83, "back_to_pool": 50.0}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2026-10-27T07:35:21Z</dcterms:created>
  <dcterms:modified xsi:type="dcterms:W3CDTF">2026-10-27T07:35:21Z</dcterms:modified>
</cp:coreProperties>
</file>